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8b4505378d7763/Desktop/Codegnan Excel Practice/"/>
    </mc:Choice>
  </mc:AlternateContent>
  <xr:revisionPtr revIDLastSave="225" documentId="13_ncr:1_{B85AD010-C4ED-4F97-871D-9262F2A8A9BC}" xr6:coauthVersionLast="47" xr6:coauthVersionMax="47" xr10:uidLastSave="{8F3188A7-71A3-4DBB-B4AE-C3A233166CD5}"/>
  <bookViews>
    <workbookView xWindow="-108" yWindow="-108" windowWidth="23256" windowHeight="12456" activeTab="1" xr2:uid="{E03010A2-10A4-4CD2-AD45-567A05CD1053}"/>
  </bookViews>
  <sheets>
    <sheet name="Adv.Xlookup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5" i="2" l="1"/>
  <c r="AC3" i="2"/>
  <c r="Z3" i="2"/>
  <c r="J3" i="1"/>
  <c r="J2" i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3" i="2"/>
  <c r="AM3" i="2"/>
  <c r="AI3" i="2" s="1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3" i="2"/>
  <c r="J34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3" i="2"/>
  <c r="J3" i="2"/>
  <c r="Z12" i="2" l="1"/>
  <c r="Z9" i="2"/>
  <c r="Z7" i="2"/>
  <c r="Z5" i="2"/>
  <c r="Z11" i="2"/>
  <c r="Z10" i="2"/>
  <c r="Z19" i="2"/>
  <c r="Z6" i="2"/>
  <c r="Z18" i="2"/>
  <c r="Z17" i="2"/>
  <c r="Z16" i="2"/>
  <c r="Z4" i="2"/>
  <c r="Z13" i="2"/>
  <c r="Z15" i="2"/>
  <c r="Z14" i="2"/>
  <c r="Z20" i="2"/>
  <c r="Z8" i="2"/>
  <c r="AI13" i="2"/>
  <c r="AI15" i="2"/>
  <c r="AI14" i="2"/>
  <c r="AI12" i="2"/>
  <c r="AI11" i="2"/>
  <c r="AI10" i="2"/>
  <c r="AI9" i="2"/>
  <c r="AI20" i="2"/>
  <c r="AI8" i="2"/>
  <c r="AI19" i="2"/>
  <c r="AI7" i="2"/>
  <c r="AI18" i="2"/>
  <c r="AI6" i="2"/>
  <c r="AI17" i="2"/>
  <c r="AI5" i="2"/>
  <c r="AI16" i="2"/>
  <c r="AI4" i="2"/>
</calcChain>
</file>

<file path=xl/sharedStrings.xml><?xml version="1.0" encoding="utf-8"?>
<sst xmlns="http://schemas.openxmlformats.org/spreadsheetml/2006/main" count="248" uniqueCount="191">
  <si>
    <t>Employee</t>
  </si>
  <si>
    <t>Department</t>
  </si>
  <si>
    <t>Rahul</t>
  </si>
  <si>
    <t>IT</t>
  </si>
  <si>
    <t>Priya</t>
  </si>
  <si>
    <t>HR</t>
  </si>
  <si>
    <t>Finance</t>
  </si>
  <si>
    <t>Sneha</t>
  </si>
  <si>
    <t>Sales</t>
  </si>
  <si>
    <t>Minimum Sales</t>
  </si>
  <si>
    <t>Commission</t>
  </si>
  <si>
    <t>Employee Name</t>
  </si>
  <si>
    <t>Rahul Sharma</t>
  </si>
  <si>
    <t>Rahul Verma</t>
  </si>
  <si>
    <t>Priya Reddy</t>
  </si>
  <si>
    <t>Priya Sharma</t>
  </si>
  <si>
    <t>Find the name beginning with Rahul</t>
  </si>
  <si>
    <t>Emp_ID</t>
  </si>
  <si>
    <t>Employee_Name</t>
  </si>
  <si>
    <t>Email</t>
  </si>
  <si>
    <t>Location</t>
  </si>
  <si>
    <t>Joining_Date</t>
  </si>
  <si>
    <t>DOB</t>
  </si>
  <si>
    <t>Employee_Code</t>
  </si>
  <si>
    <t>Salary</t>
  </si>
  <si>
    <t>E101</t>
  </si>
  <si>
    <t>rahul sharma</t>
  </si>
  <si>
    <t>rahul.sharma@gmail.com</t>
  </si>
  <si>
    <t>Hyderabad</t>
  </si>
  <si>
    <t>HYD-SAL-101</t>
  </si>
  <si>
    <t>E102</t>
  </si>
  <si>
    <t>PRIYA REDDY</t>
  </si>
  <si>
    <t>priya.reddy@gmail.com</t>
  </si>
  <si>
    <t>HYD-FIN-102</t>
  </si>
  <si>
    <t>E103</t>
  </si>
  <si>
    <t>anil kumar</t>
  </si>
  <si>
    <t>anil.kumar@gmail.com</t>
  </si>
  <si>
    <t>Bangalore</t>
  </si>
  <si>
    <t>BLR-IT-103</t>
  </si>
  <si>
    <t>E104</t>
  </si>
  <si>
    <t>Sneha Rao</t>
  </si>
  <si>
    <t>sneha.rao@yahoo.com</t>
  </si>
  <si>
    <t>Chennai</t>
  </si>
  <si>
    <t>CHE-HR-104</t>
  </si>
  <si>
    <t>E105</t>
  </si>
  <si>
    <t>arjun verma</t>
  </si>
  <si>
    <t>arjun.verma@gmail.com</t>
  </si>
  <si>
    <t>HYD-IT-105</t>
  </si>
  <si>
    <t>E106</t>
  </si>
  <si>
    <t>MEENA DEVI</t>
  </si>
  <si>
    <t>meena.devi@gmail.com</t>
  </si>
  <si>
    <t>Mumbai</t>
  </si>
  <si>
    <t>MUM-SAL-106</t>
  </si>
  <si>
    <t>E107</t>
  </si>
  <si>
    <t>Kiran Reddy</t>
  </si>
  <si>
    <t>kiran.reddy@yahoo.com</t>
  </si>
  <si>
    <t>BLR-FIN-107</t>
  </si>
  <si>
    <t>E108</t>
  </si>
  <si>
    <t>rohit kumar</t>
  </si>
  <si>
    <t>rohit.kumar@gmail.com</t>
  </si>
  <si>
    <t>Marketing</t>
  </si>
  <si>
    <t>HYD-MKT-108</t>
  </si>
  <si>
    <t>E109</t>
  </si>
  <si>
    <t>ANJALI SHARMA</t>
  </si>
  <si>
    <t>anjali.sharma@gmail.com</t>
  </si>
  <si>
    <t>MUM-HR-109</t>
  </si>
  <si>
    <t>E110</t>
  </si>
  <si>
    <t>Vikram Singh</t>
  </si>
  <si>
    <t>vikram.singh@yahoo.com</t>
  </si>
  <si>
    <t>CHE-IT-110</t>
  </si>
  <si>
    <t>E111</t>
  </si>
  <si>
    <t>Neha Patel</t>
  </si>
  <si>
    <t>neha.patel@gmail.com</t>
  </si>
  <si>
    <t>HYD-SAL-111</t>
  </si>
  <si>
    <t>E112</t>
  </si>
  <si>
    <t>AMIT GUPTA</t>
  </si>
  <si>
    <t>amit.gupta@gmail.com</t>
  </si>
  <si>
    <t>MUM-FIN-112</t>
  </si>
  <si>
    <t>E113</t>
  </si>
  <si>
    <t>pooja nair</t>
  </si>
  <si>
    <t>pooja.nair@yahoo.com</t>
  </si>
  <si>
    <t>BLR-MKT-113</t>
  </si>
  <si>
    <t>E114</t>
  </si>
  <si>
    <t>Suresh Babu</t>
  </si>
  <si>
    <t>suresh.babu@gmail.com</t>
  </si>
  <si>
    <t>HYD-IT-114</t>
  </si>
  <si>
    <t>E115</t>
  </si>
  <si>
    <t>DIVYA REDDY</t>
  </si>
  <si>
    <t>divya.reddy@gmail.com</t>
  </si>
  <si>
    <t>CHE-HR-115</t>
  </si>
  <si>
    <t>E116</t>
  </si>
  <si>
    <t>Naveen Kumar</t>
  </si>
  <si>
    <t>naveen.kumar@yahoo.com</t>
  </si>
  <si>
    <t>MUM-SAL-116</t>
  </si>
  <si>
    <t>E117</t>
  </si>
  <si>
    <t>Swathi Rao</t>
  </si>
  <si>
    <t>swathi.rao@gmail.com</t>
  </si>
  <si>
    <t>HYD-FIN-117</t>
  </si>
  <si>
    <t>E118</t>
  </si>
  <si>
    <t>RAHUL VERMA</t>
  </si>
  <si>
    <t>rahul.verma@gmail.com</t>
  </si>
  <si>
    <t>CHE-MKT-118</t>
  </si>
  <si>
    <t>1. Extract the first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</si>
  <si>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HYD</t>
    </r>
  </si>
  <si>
    <t>2. Extract the last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</si>
  <si>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101</t>
    </r>
  </si>
  <si>
    <t>3. Extract the department code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</si>
  <si>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SAL</t>
    </r>
  </si>
  <si>
    <t>4. Find the number of characters in each employee's name.</t>
  </si>
  <si>
    <t>5. Remove unnecessary spaces from the Employee Name column.</t>
  </si>
  <si>
    <t>6. Convert all employee names into proper capitalization.</t>
  </si>
  <si>
    <r>
      <t xml:space="preserve">Example: </t>
    </r>
    <r>
      <rPr>
        <sz val="10"/>
        <color theme="1"/>
        <rFont val="Arial Unicode MS"/>
      </rPr>
      <t>rahul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 Sharma</t>
    </r>
  </si>
  <si>
    <t>7. Clean the employee names by removing unnecessary spaces and converting them into proper capitalization.</t>
  </si>
  <si>
    <r>
      <t xml:space="preserve">8. Find the position of the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 symbol in each employee's email address.</t>
    </r>
  </si>
  <si>
    <t>9. Extract the username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</si>
  <si>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rahul.sharma</t>
    </r>
  </si>
  <si>
    <t>10. Extract the domain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</si>
  <si>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gmail.com</t>
    </r>
  </si>
  <si>
    <r>
      <t xml:space="preserve">11. Check whether each employee's email address belongs to Gmail or another email provider. Display either </t>
    </r>
    <r>
      <rPr>
        <sz val="10"/>
        <color theme="1"/>
        <rFont val="Arial Unicode MS"/>
      </rPr>
      <t>Gmail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</si>
  <si>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t>12. Create a new column containing the Employee ID and Employee Name in the following format:</t>
  </si>
  <si>
    <t>E101 - Rahul Sharma</t>
  </si>
  <si>
    <t>13. Create a new column in the following format:</t>
  </si>
  <si>
    <t>Rahul Sharma | Sales | Hyderabad</t>
  </si>
  <si>
    <r>
      <t xml:space="preserve">14. Replace </t>
    </r>
    <r>
      <rPr>
        <sz val="10"/>
        <color theme="1"/>
        <rFont val="Arial Unicode MS"/>
      </rPr>
      <t>gmail.com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company.com</t>
    </r>
    <r>
      <rPr>
        <sz val="11"/>
        <color theme="1"/>
        <rFont val="Calibri"/>
        <family val="2"/>
        <scheme val="minor"/>
      </rPr>
      <t xml:space="preserve"> in the email addresses.</t>
    </r>
  </si>
  <si>
    <t>Date &amp; Time Questions</t>
  </si>
  <si>
    <t>15. Extract the day from each employee's Joining Date.</t>
  </si>
  <si>
    <t>16. Extract the month number from each employee's Joining Date.</t>
  </si>
  <si>
    <t>17. Extract the year from each employee's Joining Date.</t>
  </si>
  <si>
    <t>18. Create a new column showing the year in which each employee joined.</t>
  </si>
  <si>
    <t>19. Create a new column showing the month in which each employee joined.</t>
  </si>
  <si>
    <r>
      <t xml:space="preserve">Example: </t>
    </r>
    <r>
      <rPr>
        <sz val="10"/>
        <color theme="1"/>
        <rFont val="Arial Unicode MS"/>
      </rPr>
      <t>15-Jan-2022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January</t>
    </r>
  </si>
  <si>
    <t>20. Display each employee's Joining Date in the format:</t>
  </si>
  <si>
    <t>21. Calculate the current age of each employee using their Date of Birth.</t>
  </si>
  <si>
    <t>Employee ID</t>
  </si>
  <si>
    <t>Anil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</si>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</sst>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17" fontId="3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0" fontId="0" fillId="3" borderId="2" xfId="0" applyFill="1" applyBorder="1"/>
    <xf numFmtId="0" fontId="8" fillId="2" borderId="3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4" xfId="1" applyBorder="1" applyAlignment="1">
      <alignment vertical="center" wrapText="1"/>
    </xf>
    <xf numFmtId="15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4" xfId="0" applyBorder="1"/>
    <xf numFmtId="164" fontId="0" fillId="0" borderId="4" xfId="0" applyNumberFormat="1" applyBorder="1" applyAlignment="1">
      <alignment horizontal="center"/>
    </xf>
    <xf numFmtId="17" fontId="0" fillId="0" borderId="4" xfId="0" applyNumberFormat="1" applyBorder="1" applyAlignment="1">
      <alignment horizontal="center"/>
    </xf>
    <xf numFmtId="0" fontId="0" fillId="0" borderId="5" xfId="0" applyBorder="1"/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2" fillId="3" borderId="4" xfId="1" applyFill="1" applyBorder="1" applyAlignment="1">
      <alignment vertical="center" wrapText="1"/>
    </xf>
    <xf numFmtId="15" fontId="0" fillId="3" borderId="4" xfId="0" applyNumberFormat="1" applyFill="1" applyBorder="1" applyAlignment="1">
      <alignment vertical="center" wrapText="1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0" fillId="3" borderId="4" xfId="0" applyNumberFormat="1" applyFill="1" applyBorder="1" applyAlignment="1">
      <alignment horizontal="center"/>
    </xf>
    <xf numFmtId="17" fontId="0" fillId="3" borderId="4" xfId="0" applyNumberFormat="1" applyFill="1" applyBorder="1" applyAlignment="1">
      <alignment horizontal="center"/>
    </xf>
    <xf numFmtId="0" fontId="0" fillId="3" borderId="5" xfId="0" applyFill="1" applyBorder="1"/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15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7" fontId="0" fillId="3" borderId="2" xfId="0" applyNumberFormat="1" applyFill="1" applyBorder="1" applyAlignment="1">
      <alignment horizontal="center"/>
    </xf>
    <xf numFmtId="0" fontId="0" fillId="3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.kumar@gmail.com" TargetMode="External"/><Relationship Id="rId13" Type="http://schemas.openxmlformats.org/officeDocument/2006/relationships/hyperlink" Target="mailto:pooja.nair@yahoo.com" TargetMode="External"/><Relationship Id="rId18" Type="http://schemas.openxmlformats.org/officeDocument/2006/relationships/hyperlink" Target="mailto:rahul.verma@gmail.com" TargetMode="External"/><Relationship Id="rId3" Type="http://schemas.openxmlformats.org/officeDocument/2006/relationships/hyperlink" Target="mailto:anil.kumar@gmail.com" TargetMode="External"/><Relationship Id="rId7" Type="http://schemas.openxmlformats.org/officeDocument/2006/relationships/hyperlink" Target="mailto:kiran.reddy@yahoo.com" TargetMode="External"/><Relationship Id="rId12" Type="http://schemas.openxmlformats.org/officeDocument/2006/relationships/hyperlink" Target="mailto:amit.gupta@gmail.com" TargetMode="External"/><Relationship Id="rId17" Type="http://schemas.openxmlformats.org/officeDocument/2006/relationships/hyperlink" Target="mailto:swathi.rao@gmail.com" TargetMode="External"/><Relationship Id="rId2" Type="http://schemas.openxmlformats.org/officeDocument/2006/relationships/hyperlink" Target="mailto:priya.reddy@gmail.com" TargetMode="External"/><Relationship Id="rId16" Type="http://schemas.openxmlformats.org/officeDocument/2006/relationships/hyperlink" Target="mailto:naveen.kumar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meena.devi@gmail.com" TargetMode="External"/><Relationship Id="rId11" Type="http://schemas.openxmlformats.org/officeDocument/2006/relationships/hyperlink" Target="mailto:neha.patel@gmail.com" TargetMode="External"/><Relationship Id="rId5" Type="http://schemas.openxmlformats.org/officeDocument/2006/relationships/hyperlink" Target="mailto:arjun.verma@gmail.com" TargetMode="External"/><Relationship Id="rId15" Type="http://schemas.openxmlformats.org/officeDocument/2006/relationships/hyperlink" Target="mailto:divya.reddy@gmail.com" TargetMode="External"/><Relationship Id="rId10" Type="http://schemas.openxmlformats.org/officeDocument/2006/relationships/hyperlink" Target="mailto:vikram.singh@yahoo.com" TargetMode="External"/><Relationship Id="rId4" Type="http://schemas.openxmlformats.org/officeDocument/2006/relationships/hyperlink" Target="mailto:sneha.rao@yahoo.com" TargetMode="External"/><Relationship Id="rId9" Type="http://schemas.openxmlformats.org/officeDocument/2006/relationships/hyperlink" Target="mailto:anjali.sharma@gmail.com" TargetMode="External"/><Relationship Id="rId14" Type="http://schemas.openxmlformats.org/officeDocument/2006/relationships/hyperlink" Target="mailto:suresh.bab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4FAF-4C65-477A-B58A-2E8F65EC416C}">
  <dimension ref="A1:J21"/>
  <sheetViews>
    <sheetView workbookViewId="0">
      <selection activeCell="J4" sqref="J4"/>
    </sheetView>
  </sheetViews>
  <sheetFormatPr defaultRowHeight="14.4"/>
  <cols>
    <col min="1" max="1" width="15.88671875" customWidth="1"/>
    <col min="2" max="2" width="18.5546875" customWidth="1"/>
    <col min="3" max="3" width="15.77734375" customWidth="1"/>
    <col min="4" max="4" width="15.33203125" customWidth="1"/>
    <col min="5" max="5" width="14.44140625" customWidth="1"/>
    <col min="6" max="6" width="16" customWidth="1"/>
    <col min="9" max="9" width="15" customWidth="1"/>
    <col min="10" max="10" width="19.109375" customWidth="1"/>
  </cols>
  <sheetData>
    <row r="1" spans="1:10">
      <c r="A1" s="2" t="s">
        <v>0</v>
      </c>
      <c r="B1" s="2" t="s">
        <v>1</v>
      </c>
      <c r="E1" s="2" t="s">
        <v>9</v>
      </c>
      <c r="F1" s="2" t="s">
        <v>10</v>
      </c>
      <c r="I1" s="2" t="s">
        <v>11</v>
      </c>
    </row>
    <row r="2" spans="1:10">
      <c r="A2" s="1" t="s">
        <v>2</v>
      </c>
      <c r="B2" s="1" t="s">
        <v>3</v>
      </c>
      <c r="E2" s="1">
        <v>0</v>
      </c>
      <c r="F2" s="4">
        <v>0.02</v>
      </c>
      <c r="I2" s="3" t="s">
        <v>12</v>
      </c>
      <c r="J2" t="str">
        <f>_xlfn.XLOOKUP(A2,A2:A5,B2:B5,,0,1)</f>
        <v>IT</v>
      </c>
    </row>
    <row r="3" spans="1:10">
      <c r="A3" s="1" t="s">
        <v>4</v>
      </c>
      <c r="B3" s="1" t="s">
        <v>5</v>
      </c>
      <c r="E3" s="1">
        <v>10000</v>
      </c>
      <c r="F3" s="4">
        <v>0.05</v>
      </c>
      <c r="I3" s="3" t="s">
        <v>13</v>
      </c>
      <c r="J3" t="str">
        <f>_xlfn.XLOOKUP(A4,A2:A5,B2:B5,,0,-1)</f>
        <v>Finance</v>
      </c>
    </row>
    <row r="4" spans="1:10">
      <c r="A4" s="1" t="s">
        <v>2</v>
      </c>
      <c r="B4" s="1" t="s">
        <v>6</v>
      </c>
      <c r="E4" s="1">
        <v>25000</v>
      </c>
      <c r="F4" s="4">
        <v>0.08</v>
      </c>
      <c r="I4" s="3" t="s">
        <v>14</v>
      </c>
    </row>
    <row r="5" spans="1:10">
      <c r="A5" s="1" t="s">
        <v>7</v>
      </c>
      <c r="B5" s="1" t="s">
        <v>8</v>
      </c>
      <c r="E5" s="1">
        <v>50000</v>
      </c>
      <c r="F5" s="4">
        <v>0.1</v>
      </c>
      <c r="I5" s="3" t="s">
        <v>15</v>
      </c>
    </row>
    <row r="6" spans="1:10">
      <c r="E6" s="1">
        <v>100000</v>
      </c>
      <c r="F6" s="4">
        <v>0.15</v>
      </c>
    </row>
    <row r="7" spans="1:10" ht="43.2">
      <c r="I7" s="3" t="s">
        <v>16</v>
      </c>
    </row>
    <row r="13" spans="1:10" ht="36">
      <c r="A13" s="9" t="s">
        <v>133</v>
      </c>
      <c r="B13" s="9" t="s">
        <v>11</v>
      </c>
      <c r="C13" s="9" t="s">
        <v>1</v>
      </c>
      <c r="D13" s="9" t="s">
        <v>20</v>
      </c>
      <c r="E13" s="9" t="s">
        <v>24</v>
      </c>
    </row>
    <row r="14" spans="1:10" ht="18">
      <c r="A14" s="10" t="s">
        <v>25</v>
      </c>
      <c r="B14" s="10" t="s">
        <v>4</v>
      </c>
      <c r="C14" s="10" t="s">
        <v>5</v>
      </c>
      <c r="D14" s="10" t="s">
        <v>28</v>
      </c>
      <c r="E14" s="10">
        <v>40000</v>
      </c>
    </row>
    <row r="15" spans="1:10" ht="18">
      <c r="A15" s="10" t="s">
        <v>30</v>
      </c>
      <c r="B15" s="10" t="s">
        <v>2</v>
      </c>
      <c r="C15" s="10" t="s">
        <v>3</v>
      </c>
      <c r="D15" s="10" t="s">
        <v>37</v>
      </c>
      <c r="E15" s="10">
        <v>55000</v>
      </c>
    </row>
    <row r="16" spans="1:10" ht="18">
      <c r="A16" s="10" t="s">
        <v>34</v>
      </c>
      <c r="B16" s="10" t="s">
        <v>134</v>
      </c>
      <c r="C16" s="10" t="s">
        <v>6</v>
      </c>
      <c r="D16" s="10" t="s">
        <v>42</v>
      </c>
      <c r="E16" s="10">
        <v>48000</v>
      </c>
    </row>
    <row r="17" spans="1:7" ht="18">
      <c r="A17" s="10" t="s">
        <v>39</v>
      </c>
      <c r="B17" s="10" t="s">
        <v>7</v>
      </c>
      <c r="C17" s="10" t="s">
        <v>8</v>
      </c>
      <c r="D17" s="10" t="s">
        <v>28</v>
      </c>
      <c r="E17" s="10">
        <v>42000</v>
      </c>
    </row>
    <row r="21" spans="1:7" ht="36">
      <c r="C21" s="9" t="s">
        <v>133</v>
      </c>
      <c r="D21" s="9" t="s">
        <v>11</v>
      </c>
      <c r="E21" s="9" t="s">
        <v>1</v>
      </c>
      <c r="F21" s="9" t="s">
        <v>20</v>
      </c>
      <c r="G21" s="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552C-E74D-411A-A738-C82F54F25F60}">
  <dimension ref="A1:AM62"/>
  <sheetViews>
    <sheetView tabSelected="1" topLeftCell="T2" zoomScale="110" workbookViewId="0">
      <selection activeCell="AB26" sqref="AB26"/>
    </sheetView>
  </sheetViews>
  <sheetFormatPr defaultRowHeight="14.4"/>
  <cols>
    <col min="1" max="1" width="20.21875" customWidth="1"/>
    <col min="2" max="2" width="20.6640625" customWidth="1"/>
    <col min="3" max="3" width="24.33203125" customWidth="1"/>
    <col min="4" max="4" width="15.44140625" customWidth="1"/>
    <col min="5" max="5" width="14" customWidth="1"/>
    <col min="6" max="6" width="16.109375" customWidth="1"/>
    <col min="7" max="7" width="16.21875" customWidth="1"/>
    <col min="8" max="8" width="18.5546875" customWidth="1"/>
    <col min="9" max="9" width="12.88671875" customWidth="1"/>
    <col min="10" max="10" width="14.44140625" style="11" customWidth="1"/>
    <col min="11" max="12" width="11.21875" style="11" customWidth="1"/>
    <col min="13" max="13" width="11.21875" customWidth="1"/>
    <col min="14" max="14" width="14.33203125" bestFit="1" customWidth="1"/>
    <col min="15" max="15" width="12.88671875" bestFit="1" customWidth="1"/>
    <col min="16" max="16" width="12.109375" bestFit="1" customWidth="1"/>
    <col min="17" max="17" width="11.21875" customWidth="1"/>
    <col min="18" max="18" width="11.6640625" bestFit="1" customWidth="1"/>
    <col min="19" max="21" width="11.21875" customWidth="1"/>
    <col min="22" max="22" width="14.44140625" customWidth="1"/>
    <col min="23" max="24" width="11.21875" customWidth="1"/>
    <col min="25" max="25" width="12.88671875" customWidth="1"/>
    <col min="26" max="35" width="11.21875" customWidth="1"/>
    <col min="39" max="39" width="10.33203125" bestFit="1" customWidth="1"/>
  </cols>
  <sheetData>
    <row r="1" spans="1:39">
      <c r="A1" s="14" t="s">
        <v>156</v>
      </c>
      <c r="B1" s="15" t="s">
        <v>157</v>
      </c>
      <c r="C1" s="15" t="s">
        <v>158</v>
      </c>
      <c r="D1" s="15" t="s">
        <v>159</v>
      </c>
      <c r="E1" s="15" t="s">
        <v>160</v>
      </c>
      <c r="F1" s="15" t="s">
        <v>161</v>
      </c>
      <c r="G1" s="15" t="s">
        <v>162</v>
      </c>
      <c r="H1" s="15" t="s">
        <v>163</v>
      </c>
      <c r="I1" s="15" t="s">
        <v>164</v>
      </c>
      <c r="J1" s="16" t="s">
        <v>165</v>
      </c>
      <c r="K1" s="16" t="s">
        <v>166</v>
      </c>
      <c r="L1" s="16" t="s">
        <v>167</v>
      </c>
      <c r="M1" s="16" t="s">
        <v>168</v>
      </c>
      <c r="N1" s="16" t="s">
        <v>169</v>
      </c>
      <c r="O1" s="16" t="s">
        <v>170</v>
      </c>
      <c r="P1" s="16" t="s">
        <v>171</v>
      </c>
      <c r="Q1" s="16" t="s">
        <v>172</v>
      </c>
      <c r="R1" s="16" t="s">
        <v>173</v>
      </c>
      <c r="S1" s="16" t="s">
        <v>174</v>
      </c>
      <c r="T1" s="16" t="s">
        <v>175</v>
      </c>
      <c r="U1" s="16" t="s">
        <v>176</v>
      </c>
      <c r="V1" s="16" t="s">
        <v>177</v>
      </c>
      <c r="W1" s="16" t="s">
        <v>178</v>
      </c>
      <c r="X1" s="16" t="s">
        <v>179</v>
      </c>
      <c r="Y1" s="16" t="s">
        <v>180</v>
      </c>
      <c r="Z1" s="16" t="s">
        <v>181</v>
      </c>
      <c r="AA1" s="16" t="s">
        <v>182</v>
      </c>
      <c r="AB1" s="16" t="s">
        <v>183</v>
      </c>
      <c r="AC1" s="17" t="s">
        <v>184</v>
      </c>
      <c r="AD1" s="17" t="s">
        <v>185</v>
      </c>
      <c r="AE1" s="17" t="s">
        <v>186</v>
      </c>
      <c r="AF1" s="17" t="s">
        <v>187</v>
      </c>
      <c r="AG1" s="17" t="s">
        <v>188</v>
      </c>
      <c r="AH1" s="17" t="s">
        <v>189</v>
      </c>
      <c r="AI1" s="18" t="s">
        <v>190</v>
      </c>
    </row>
    <row r="2" spans="1:39">
      <c r="A2" s="19" t="s">
        <v>17</v>
      </c>
      <c r="B2" s="20" t="s">
        <v>18</v>
      </c>
      <c r="C2" s="20" t="s">
        <v>19</v>
      </c>
      <c r="D2" s="20" t="s">
        <v>1</v>
      </c>
      <c r="E2" s="20" t="s">
        <v>20</v>
      </c>
      <c r="F2" s="20" t="s">
        <v>21</v>
      </c>
      <c r="G2" s="20" t="s">
        <v>22</v>
      </c>
      <c r="H2" s="20" t="s">
        <v>23</v>
      </c>
      <c r="I2" s="20" t="s">
        <v>24</v>
      </c>
      <c r="J2" s="21" t="s">
        <v>135</v>
      </c>
      <c r="K2" s="21" t="s">
        <v>136</v>
      </c>
      <c r="L2" s="21" t="s">
        <v>137</v>
      </c>
      <c r="M2" s="21" t="s">
        <v>138</v>
      </c>
      <c r="N2" s="21" t="s">
        <v>139</v>
      </c>
      <c r="O2" s="21" t="s">
        <v>140</v>
      </c>
      <c r="P2" s="21" t="s">
        <v>141</v>
      </c>
      <c r="Q2" s="21" t="s">
        <v>142</v>
      </c>
      <c r="R2" s="21" t="s">
        <v>143</v>
      </c>
      <c r="S2" s="21" t="s">
        <v>144</v>
      </c>
      <c r="T2" s="21" t="s">
        <v>145</v>
      </c>
      <c r="U2" s="21" t="s">
        <v>146</v>
      </c>
      <c r="V2" s="21"/>
      <c r="W2" s="21" t="s">
        <v>147</v>
      </c>
      <c r="X2" s="21"/>
      <c r="Y2" s="21"/>
      <c r="Z2" s="21" t="s">
        <v>148</v>
      </c>
      <c r="AA2" s="21"/>
      <c r="AB2" s="21"/>
      <c r="AC2" s="22" t="s">
        <v>149</v>
      </c>
      <c r="AD2" s="22" t="s">
        <v>150</v>
      </c>
      <c r="AE2" s="22" t="s">
        <v>151</v>
      </c>
      <c r="AF2" s="22" t="s">
        <v>152</v>
      </c>
      <c r="AG2" s="22" t="s">
        <v>153</v>
      </c>
      <c r="AH2" s="22" t="s">
        <v>154</v>
      </c>
      <c r="AI2" s="23" t="s">
        <v>155</v>
      </c>
    </row>
    <row r="3" spans="1:39">
      <c r="A3" s="24" t="s">
        <v>25</v>
      </c>
      <c r="B3" s="25" t="s">
        <v>26</v>
      </c>
      <c r="C3" s="26" t="s">
        <v>27</v>
      </c>
      <c r="D3" s="25" t="s">
        <v>8</v>
      </c>
      <c r="E3" s="25" t="s">
        <v>28</v>
      </c>
      <c r="F3" s="27">
        <v>44576</v>
      </c>
      <c r="G3" s="27">
        <v>34862</v>
      </c>
      <c r="H3" s="25" t="s">
        <v>29</v>
      </c>
      <c r="I3" s="25">
        <v>45000</v>
      </c>
      <c r="J3" s="28" t="str">
        <f>LEFT(H3,3)</f>
        <v>HYD</v>
      </c>
      <c r="K3" s="28" t="str">
        <f>RIGHT(H3,3)</f>
        <v>101</v>
      </c>
      <c r="L3" s="28" t="str">
        <f>MID(H3,5,3)</f>
        <v>SAL</v>
      </c>
      <c r="M3" s="28">
        <f>LEN(B3)</f>
        <v>12</v>
      </c>
      <c r="N3" s="29" t="str">
        <f>TRIM(B3)</f>
        <v>rahul sharma</v>
      </c>
      <c r="O3" s="29" t="str">
        <f>PROPER(B3)</f>
        <v>Rahul Sharma</v>
      </c>
      <c r="P3" s="29" t="str">
        <f>PROPER(TRIM(B3))</f>
        <v>Rahul Sharma</v>
      </c>
      <c r="Q3" s="28">
        <f>FIND("@",C3,1)</f>
        <v>13</v>
      </c>
      <c r="R3" s="29" t="str">
        <f>LEFT(C3,FIND("@",C3)-1)</f>
        <v>rahul.sharma</v>
      </c>
      <c r="S3" s="29" t="str">
        <f>RIGHT(C3,9)</f>
        <v>gmail.com</v>
      </c>
      <c r="T3" s="29"/>
      <c r="U3" s="28" t="str">
        <f>_xlfn.TEXTJOIN("-",FALSE,A3,B3)</f>
        <v>E101-rahul sharma</v>
      </c>
      <c r="V3" s="28"/>
      <c r="W3" s="28" t="str">
        <f>PROPER(_xlfn.TEXTJOIN("|",FALSE,B3,D3,E3))</f>
        <v>Rahul Sharma|Sales|Hyderabad</v>
      </c>
      <c r="X3" s="28"/>
      <c r="Y3" s="28"/>
      <c r="Z3" s="28" t="str">
        <f>REPLACE(C3,Q3,M3,"@company.com")</f>
        <v>rahul.sharma@company.com</v>
      </c>
      <c r="AA3" s="28"/>
      <c r="AB3" s="28"/>
      <c r="AC3" s="28">
        <f>DAY(F3)</f>
        <v>15</v>
      </c>
      <c r="AD3" s="28">
        <f>MONTH(F3)</f>
        <v>1</v>
      </c>
      <c r="AE3" s="28">
        <f>YEAR(F3)</f>
        <v>2022</v>
      </c>
      <c r="AF3" s="28">
        <f>YEAR(F3)</f>
        <v>2022</v>
      </c>
      <c r="AG3" s="30" t="str">
        <f>TEXT(F3,"MMMM")</f>
        <v>January</v>
      </c>
      <c r="AH3" s="31" t="str">
        <f>TEXT(F3,"MMM-YY")</f>
        <v>Jan-22</v>
      </c>
      <c r="AI3" s="32" t="str">
        <f ca="1">DATEDIF(G3,$AM$3,"Y")&amp;" YEARS"</f>
        <v>31 YEARS</v>
      </c>
      <c r="AM3" s="12">
        <f ca="1">TODAY()</f>
        <v>46295</v>
      </c>
    </row>
    <row r="4" spans="1:39">
      <c r="A4" s="33" t="s">
        <v>30</v>
      </c>
      <c r="B4" s="34" t="s">
        <v>31</v>
      </c>
      <c r="C4" s="35" t="s">
        <v>32</v>
      </c>
      <c r="D4" s="34" t="s">
        <v>6</v>
      </c>
      <c r="E4" s="34" t="s">
        <v>28</v>
      </c>
      <c r="F4" s="36">
        <v>44277</v>
      </c>
      <c r="G4" s="36">
        <v>34863</v>
      </c>
      <c r="H4" s="34" t="s">
        <v>33</v>
      </c>
      <c r="I4" s="34">
        <v>52000</v>
      </c>
      <c r="J4" s="37" t="str">
        <f t="shared" ref="J4:J20" si="0">LEFT(H4,3)</f>
        <v>HYD</v>
      </c>
      <c r="K4" s="37" t="str">
        <f t="shared" ref="K4:K20" si="1">RIGHT(H4,3)</f>
        <v>102</v>
      </c>
      <c r="L4" s="37" t="str">
        <f t="shared" ref="L4:L20" si="2">MID(H4,5,3)</f>
        <v>FIN</v>
      </c>
      <c r="M4" s="37">
        <f t="shared" ref="M4:M20" si="3">LEN(B4)</f>
        <v>11</v>
      </c>
      <c r="N4" s="38" t="str">
        <f t="shared" ref="N4:N20" si="4">TRIM(B4)</f>
        <v>PRIYA REDDY</v>
      </c>
      <c r="O4" s="38" t="str">
        <f t="shared" ref="O4:O20" si="5">PROPER(B4)</f>
        <v>Priya Reddy</v>
      </c>
      <c r="P4" s="38" t="str">
        <f t="shared" ref="P4:P20" si="6">PROPER(TRIM(B4))</f>
        <v>Priya Reddy</v>
      </c>
      <c r="Q4" s="37">
        <f t="shared" ref="Q4:Q20" si="7">FIND("@",C4,1)</f>
        <v>12</v>
      </c>
      <c r="R4" s="38" t="str">
        <f t="shared" ref="R4:R20" si="8">LEFT(C4,FIND("@",C4)-1)</f>
        <v>priya.reddy</v>
      </c>
      <c r="S4" s="38" t="str">
        <f t="shared" ref="S4:S20" si="9">RIGHT(C4,9)</f>
        <v>gmail.com</v>
      </c>
      <c r="T4" s="38"/>
      <c r="U4" s="37" t="str">
        <f t="shared" ref="U4:U20" si="10">_xlfn.TEXTJOIN("-",FALSE,A4,B4)</f>
        <v>E102-PRIYA REDDY</v>
      </c>
      <c r="V4" s="37"/>
      <c r="W4" s="37" t="str">
        <f t="shared" ref="W4:W20" si="11">PROPER(_xlfn.TEXTJOIN("|",FALSE,B4,D4,E4))</f>
        <v>Priya Reddy|Finance|Hyderabad</v>
      </c>
      <c r="X4" s="37"/>
      <c r="Y4" s="37"/>
      <c r="Z4" s="37" t="str">
        <f t="shared" ref="Z4:Z20" si="12">REPLACE(C4,Q4,M4,"@company.com")</f>
        <v>priya.reddy@company.com</v>
      </c>
      <c r="AA4" s="37"/>
      <c r="AB4" s="37"/>
      <c r="AC4" s="37">
        <f t="shared" ref="AC4:AC20" si="13">DAY(F4)</f>
        <v>22</v>
      </c>
      <c r="AD4" s="37">
        <f t="shared" ref="AD4:AD20" si="14">MONTH(F4)</f>
        <v>3</v>
      </c>
      <c r="AE4" s="37">
        <f t="shared" ref="AE4:AE20" si="15">YEAR(F4)</f>
        <v>2021</v>
      </c>
      <c r="AF4" s="37">
        <f t="shared" ref="AF4:AF20" si="16">YEAR(F4)</f>
        <v>2021</v>
      </c>
      <c r="AG4" s="39" t="str">
        <f t="shared" ref="AG4:AG20" si="17">TEXT(F4,"MMMM")</f>
        <v>March</v>
      </c>
      <c r="AH4" s="40" t="str">
        <f t="shared" ref="AH4:AH20" si="18">TEXT(F4,"MMM-YY")</f>
        <v>Mar-21</v>
      </c>
      <c r="AI4" s="41" t="str">
        <f t="shared" ref="AI4:AI20" ca="1" si="19">DATEDIF(G4,$AM$3,"Y")&amp;" YEARS"</f>
        <v>31 YEARS</v>
      </c>
    </row>
    <row r="5" spans="1:39">
      <c r="A5" s="24" t="s">
        <v>34</v>
      </c>
      <c r="B5" s="25" t="s">
        <v>35</v>
      </c>
      <c r="C5" s="26" t="s">
        <v>36</v>
      </c>
      <c r="D5" s="25" t="s">
        <v>3</v>
      </c>
      <c r="E5" s="25" t="s">
        <v>37</v>
      </c>
      <c r="F5" s="27">
        <v>45117</v>
      </c>
      <c r="G5" s="27">
        <v>34864</v>
      </c>
      <c r="H5" s="25" t="s">
        <v>38</v>
      </c>
      <c r="I5" s="25">
        <v>48000</v>
      </c>
      <c r="J5" s="28" t="str">
        <f t="shared" si="0"/>
        <v>BLR</v>
      </c>
      <c r="K5" s="28" t="str">
        <f t="shared" si="1"/>
        <v>103</v>
      </c>
      <c r="L5" s="28" t="str">
        <f t="shared" si="2"/>
        <v>IT-</v>
      </c>
      <c r="M5" s="28">
        <f t="shared" si="3"/>
        <v>10</v>
      </c>
      <c r="N5" s="29" t="str">
        <f t="shared" si="4"/>
        <v>anil kumar</v>
      </c>
      <c r="O5" s="29" t="str">
        <f t="shared" si="5"/>
        <v>Anil Kumar</v>
      </c>
      <c r="P5" s="29" t="str">
        <f t="shared" si="6"/>
        <v>Anil Kumar</v>
      </c>
      <c r="Q5" s="28">
        <f t="shared" si="7"/>
        <v>11</v>
      </c>
      <c r="R5" s="29" t="str">
        <f t="shared" si="8"/>
        <v>anil.kumar</v>
      </c>
      <c r="S5" s="29" t="str">
        <f t="shared" si="9"/>
        <v>gmail.com</v>
      </c>
      <c r="T5" s="29"/>
      <c r="U5" s="28" t="str">
        <f t="shared" si="10"/>
        <v>E103-anil kumar</v>
      </c>
      <c r="V5" s="28"/>
      <c r="W5" s="28" t="str">
        <f t="shared" si="11"/>
        <v>Anil Kumar|It|Bangalore</v>
      </c>
      <c r="X5" s="28"/>
      <c r="Y5" s="28"/>
      <c r="Z5" s="28" t="str">
        <f t="shared" si="12"/>
        <v>anil.kumar@company.com</v>
      </c>
      <c r="AA5" s="28"/>
      <c r="AB5" s="28"/>
      <c r="AC5" s="28">
        <f t="shared" si="13"/>
        <v>10</v>
      </c>
      <c r="AD5" s="28">
        <f t="shared" si="14"/>
        <v>7</v>
      </c>
      <c r="AE5" s="28">
        <f t="shared" si="15"/>
        <v>2023</v>
      </c>
      <c r="AF5" s="28">
        <f t="shared" si="16"/>
        <v>2023</v>
      </c>
      <c r="AG5" s="30" t="str">
        <f t="shared" si="17"/>
        <v>July</v>
      </c>
      <c r="AH5" s="31" t="str">
        <f t="shared" si="18"/>
        <v>Jul-23</v>
      </c>
      <c r="AI5" s="32" t="str">
        <f t="shared" ca="1" si="19"/>
        <v>31 YEARS</v>
      </c>
    </row>
    <row r="6" spans="1:39">
      <c r="A6" s="33" t="s">
        <v>39</v>
      </c>
      <c r="B6" s="34" t="s">
        <v>40</v>
      </c>
      <c r="C6" s="35" t="s">
        <v>41</v>
      </c>
      <c r="D6" s="34" t="s">
        <v>5</v>
      </c>
      <c r="E6" s="34" t="s">
        <v>42</v>
      </c>
      <c r="F6" s="36">
        <v>43866</v>
      </c>
      <c r="G6" s="36">
        <v>34865</v>
      </c>
      <c r="H6" s="34" t="s">
        <v>43</v>
      </c>
      <c r="I6" s="34">
        <v>50000</v>
      </c>
      <c r="J6" s="37" t="str">
        <f t="shared" si="0"/>
        <v>CHE</v>
      </c>
      <c r="K6" s="37" t="str">
        <f t="shared" si="1"/>
        <v>104</v>
      </c>
      <c r="L6" s="37" t="str">
        <f t="shared" si="2"/>
        <v>HR-</v>
      </c>
      <c r="M6" s="37">
        <f t="shared" si="3"/>
        <v>9</v>
      </c>
      <c r="N6" s="38" t="str">
        <f t="shared" si="4"/>
        <v>Sneha Rao</v>
      </c>
      <c r="O6" s="38" t="str">
        <f t="shared" si="5"/>
        <v>Sneha Rao</v>
      </c>
      <c r="P6" s="38" t="str">
        <f t="shared" si="6"/>
        <v>Sneha Rao</v>
      </c>
      <c r="Q6" s="37">
        <f t="shared" si="7"/>
        <v>10</v>
      </c>
      <c r="R6" s="38" t="str">
        <f t="shared" si="8"/>
        <v>sneha.rao</v>
      </c>
      <c r="S6" s="38" t="str">
        <f t="shared" si="9"/>
        <v>yahoo.com</v>
      </c>
      <c r="T6" s="38"/>
      <c r="U6" s="37" t="str">
        <f t="shared" si="10"/>
        <v>E104-Sneha Rao</v>
      </c>
      <c r="V6" s="37"/>
      <c r="W6" s="37" t="str">
        <f t="shared" si="11"/>
        <v>Sneha Rao|Hr|Chennai</v>
      </c>
      <c r="X6" s="37"/>
      <c r="Y6" s="37"/>
      <c r="Z6" s="37" t="str">
        <f t="shared" si="12"/>
        <v>sneha.rao@company.comm</v>
      </c>
      <c r="AA6" s="37"/>
      <c r="AB6" s="37"/>
      <c r="AC6" s="37">
        <f t="shared" si="13"/>
        <v>5</v>
      </c>
      <c r="AD6" s="37">
        <f t="shared" si="14"/>
        <v>2</v>
      </c>
      <c r="AE6" s="37">
        <f t="shared" si="15"/>
        <v>2020</v>
      </c>
      <c r="AF6" s="37">
        <f t="shared" si="16"/>
        <v>2020</v>
      </c>
      <c r="AG6" s="39" t="str">
        <f t="shared" si="17"/>
        <v>February</v>
      </c>
      <c r="AH6" s="40" t="str">
        <f t="shared" si="18"/>
        <v>Feb-20</v>
      </c>
      <c r="AI6" s="41" t="str">
        <f t="shared" ca="1" si="19"/>
        <v>31 YEARS</v>
      </c>
    </row>
    <row r="7" spans="1:39">
      <c r="A7" s="24" t="s">
        <v>44</v>
      </c>
      <c r="B7" s="25" t="s">
        <v>45</v>
      </c>
      <c r="C7" s="26" t="s">
        <v>46</v>
      </c>
      <c r="D7" s="25" t="s">
        <v>3</v>
      </c>
      <c r="E7" s="25" t="s">
        <v>28</v>
      </c>
      <c r="F7" s="27">
        <v>44822</v>
      </c>
      <c r="G7" s="27">
        <v>34866</v>
      </c>
      <c r="H7" s="25" t="s">
        <v>47</v>
      </c>
      <c r="I7" s="25">
        <v>60000</v>
      </c>
      <c r="J7" s="28" t="str">
        <f t="shared" si="0"/>
        <v>HYD</v>
      </c>
      <c r="K7" s="28" t="str">
        <f t="shared" si="1"/>
        <v>105</v>
      </c>
      <c r="L7" s="28" t="str">
        <f t="shared" si="2"/>
        <v>IT-</v>
      </c>
      <c r="M7" s="28">
        <f t="shared" si="3"/>
        <v>11</v>
      </c>
      <c r="N7" s="29" t="str">
        <f t="shared" si="4"/>
        <v>arjun verma</v>
      </c>
      <c r="O7" s="29" t="str">
        <f t="shared" si="5"/>
        <v>Arjun Verma</v>
      </c>
      <c r="P7" s="29" t="str">
        <f t="shared" si="6"/>
        <v>Arjun Verma</v>
      </c>
      <c r="Q7" s="28">
        <f t="shared" si="7"/>
        <v>12</v>
      </c>
      <c r="R7" s="29" t="str">
        <f t="shared" si="8"/>
        <v>arjun.verma</v>
      </c>
      <c r="S7" s="29" t="str">
        <f t="shared" si="9"/>
        <v>gmail.com</v>
      </c>
      <c r="T7" s="29"/>
      <c r="U7" s="28" t="str">
        <f t="shared" si="10"/>
        <v>E105-arjun verma</v>
      </c>
      <c r="V7" s="28"/>
      <c r="W7" s="28" t="str">
        <f t="shared" si="11"/>
        <v>Arjun Verma|It|Hyderabad</v>
      </c>
      <c r="X7" s="28"/>
      <c r="Y7" s="28"/>
      <c r="Z7" s="28" t="str">
        <f t="shared" si="12"/>
        <v>arjun.verma@company.com</v>
      </c>
      <c r="AA7" s="28"/>
      <c r="AB7" s="28"/>
      <c r="AC7" s="28">
        <f t="shared" si="13"/>
        <v>18</v>
      </c>
      <c r="AD7" s="28">
        <f t="shared" si="14"/>
        <v>9</v>
      </c>
      <c r="AE7" s="28">
        <f t="shared" si="15"/>
        <v>2022</v>
      </c>
      <c r="AF7" s="28">
        <f t="shared" si="16"/>
        <v>2022</v>
      </c>
      <c r="AG7" s="30" t="str">
        <f t="shared" si="17"/>
        <v>September</v>
      </c>
      <c r="AH7" s="31" t="str">
        <f t="shared" si="18"/>
        <v>Sep-22</v>
      </c>
      <c r="AI7" s="32" t="str">
        <f t="shared" ca="1" si="19"/>
        <v>31 YEARS</v>
      </c>
    </row>
    <row r="8" spans="1:39">
      <c r="A8" s="33" t="s">
        <v>48</v>
      </c>
      <c r="B8" s="34" t="s">
        <v>49</v>
      </c>
      <c r="C8" s="35" t="s">
        <v>50</v>
      </c>
      <c r="D8" s="34" t="s">
        <v>8</v>
      </c>
      <c r="E8" s="34" t="s">
        <v>51</v>
      </c>
      <c r="F8" s="36">
        <v>45393</v>
      </c>
      <c r="G8" s="36">
        <v>34867</v>
      </c>
      <c r="H8" s="34" t="s">
        <v>52</v>
      </c>
      <c r="I8" s="34">
        <v>38000</v>
      </c>
      <c r="J8" s="37" t="str">
        <f t="shared" si="0"/>
        <v>MUM</v>
      </c>
      <c r="K8" s="37" t="str">
        <f t="shared" si="1"/>
        <v>106</v>
      </c>
      <c r="L8" s="37" t="str">
        <f t="shared" si="2"/>
        <v>SAL</v>
      </c>
      <c r="M8" s="37">
        <f t="shared" si="3"/>
        <v>10</v>
      </c>
      <c r="N8" s="38" t="str">
        <f t="shared" si="4"/>
        <v>MEENA DEVI</v>
      </c>
      <c r="O8" s="38" t="str">
        <f t="shared" si="5"/>
        <v>Meena Devi</v>
      </c>
      <c r="P8" s="38" t="str">
        <f t="shared" si="6"/>
        <v>Meena Devi</v>
      </c>
      <c r="Q8" s="37">
        <f t="shared" si="7"/>
        <v>11</v>
      </c>
      <c r="R8" s="38" t="str">
        <f t="shared" si="8"/>
        <v>meena.devi</v>
      </c>
      <c r="S8" s="38" t="str">
        <f t="shared" si="9"/>
        <v>gmail.com</v>
      </c>
      <c r="T8" s="38"/>
      <c r="U8" s="37" t="str">
        <f t="shared" si="10"/>
        <v>E106-MEENA DEVI</v>
      </c>
      <c r="V8" s="37"/>
      <c r="W8" s="37" t="str">
        <f t="shared" si="11"/>
        <v>Meena Devi|Sales|Mumbai</v>
      </c>
      <c r="X8" s="37"/>
      <c r="Y8" s="37"/>
      <c r="Z8" s="37" t="str">
        <f t="shared" si="12"/>
        <v>meena.devi@company.com</v>
      </c>
      <c r="AA8" s="37"/>
      <c r="AB8" s="37"/>
      <c r="AC8" s="37">
        <f t="shared" si="13"/>
        <v>11</v>
      </c>
      <c r="AD8" s="37">
        <f t="shared" si="14"/>
        <v>4</v>
      </c>
      <c r="AE8" s="37">
        <f t="shared" si="15"/>
        <v>2024</v>
      </c>
      <c r="AF8" s="37">
        <f t="shared" si="16"/>
        <v>2024</v>
      </c>
      <c r="AG8" s="39" t="str">
        <f t="shared" si="17"/>
        <v>April</v>
      </c>
      <c r="AH8" s="40" t="str">
        <f t="shared" si="18"/>
        <v>Apr-24</v>
      </c>
      <c r="AI8" s="41" t="str">
        <f t="shared" ca="1" si="19"/>
        <v>31 YEARS</v>
      </c>
    </row>
    <row r="9" spans="1:39">
      <c r="A9" s="24" t="s">
        <v>53</v>
      </c>
      <c r="B9" s="25" t="s">
        <v>54</v>
      </c>
      <c r="C9" s="26" t="s">
        <v>55</v>
      </c>
      <c r="D9" s="25" t="s">
        <v>6</v>
      </c>
      <c r="E9" s="25" t="s">
        <v>37</v>
      </c>
      <c r="F9" s="27">
        <v>44527</v>
      </c>
      <c r="G9" s="27">
        <v>34868</v>
      </c>
      <c r="H9" s="25" t="s">
        <v>56</v>
      </c>
      <c r="I9" s="25">
        <v>57000</v>
      </c>
      <c r="J9" s="28" t="str">
        <f t="shared" si="0"/>
        <v>BLR</v>
      </c>
      <c r="K9" s="28" t="str">
        <f t="shared" si="1"/>
        <v>107</v>
      </c>
      <c r="L9" s="28" t="str">
        <f t="shared" si="2"/>
        <v>FIN</v>
      </c>
      <c r="M9" s="28">
        <f t="shared" si="3"/>
        <v>11</v>
      </c>
      <c r="N9" s="29" t="str">
        <f t="shared" si="4"/>
        <v>Kiran Reddy</v>
      </c>
      <c r="O9" s="29" t="str">
        <f t="shared" si="5"/>
        <v>Kiran Reddy</v>
      </c>
      <c r="P9" s="29" t="str">
        <f t="shared" si="6"/>
        <v>Kiran Reddy</v>
      </c>
      <c r="Q9" s="28">
        <f t="shared" si="7"/>
        <v>12</v>
      </c>
      <c r="R9" s="29" t="str">
        <f t="shared" si="8"/>
        <v>kiran.reddy</v>
      </c>
      <c r="S9" s="29" t="str">
        <f t="shared" si="9"/>
        <v>yahoo.com</v>
      </c>
      <c r="T9" s="29"/>
      <c r="U9" s="28" t="str">
        <f t="shared" si="10"/>
        <v>E107-Kiran Reddy</v>
      </c>
      <c r="V9" s="28"/>
      <c r="W9" s="28" t="str">
        <f t="shared" si="11"/>
        <v>Kiran Reddy|Finance|Bangalore</v>
      </c>
      <c r="X9" s="28"/>
      <c r="Y9" s="28"/>
      <c r="Z9" s="28" t="str">
        <f t="shared" si="12"/>
        <v>kiran.reddy@company.com</v>
      </c>
      <c r="AA9" s="28"/>
      <c r="AB9" s="28"/>
      <c r="AC9" s="28">
        <f t="shared" si="13"/>
        <v>27</v>
      </c>
      <c r="AD9" s="28">
        <f t="shared" si="14"/>
        <v>11</v>
      </c>
      <c r="AE9" s="28">
        <f t="shared" si="15"/>
        <v>2021</v>
      </c>
      <c r="AF9" s="28">
        <f t="shared" si="16"/>
        <v>2021</v>
      </c>
      <c r="AG9" s="30" t="str">
        <f t="shared" si="17"/>
        <v>November</v>
      </c>
      <c r="AH9" s="31" t="str">
        <f t="shared" si="18"/>
        <v>Nov-21</v>
      </c>
      <c r="AI9" s="32" t="str">
        <f t="shared" ca="1" si="19"/>
        <v>31 YEARS</v>
      </c>
    </row>
    <row r="10" spans="1:39">
      <c r="A10" s="33" t="s">
        <v>57</v>
      </c>
      <c r="B10" s="34" t="s">
        <v>58</v>
      </c>
      <c r="C10" s="35" t="s">
        <v>59</v>
      </c>
      <c r="D10" s="34" t="s">
        <v>60</v>
      </c>
      <c r="E10" s="34" t="s">
        <v>28</v>
      </c>
      <c r="F10" s="36">
        <v>44935</v>
      </c>
      <c r="G10" s="36">
        <v>34869</v>
      </c>
      <c r="H10" s="34" t="s">
        <v>61</v>
      </c>
      <c r="I10" s="34">
        <v>42000</v>
      </c>
      <c r="J10" s="37" t="str">
        <f t="shared" si="0"/>
        <v>HYD</v>
      </c>
      <c r="K10" s="37" t="str">
        <f t="shared" si="1"/>
        <v>108</v>
      </c>
      <c r="L10" s="37" t="str">
        <f t="shared" si="2"/>
        <v>MKT</v>
      </c>
      <c r="M10" s="37">
        <f t="shared" si="3"/>
        <v>11</v>
      </c>
      <c r="N10" s="38" t="str">
        <f t="shared" si="4"/>
        <v>rohit kumar</v>
      </c>
      <c r="O10" s="38" t="str">
        <f t="shared" si="5"/>
        <v>Rohit Kumar</v>
      </c>
      <c r="P10" s="38" t="str">
        <f t="shared" si="6"/>
        <v>Rohit Kumar</v>
      </c>
      <c r="Q10" s="37">
        <f t="shared" si="7"/>
        <v>12</v>
      </c>
      <c r="R10" s="38" t="str">
        <f t="shared" si="8"/>
        <v>rohit.kumar</v>
      </c>
      <c r="S10" s="38" t="str">
        <f t="shared" si="9"/>
        <v>gmail.com</v>
      </c>
      <c r="T10" s="38"/>
      <c r="U10" s="37" t="str">
        <f t="shared" si="10"/>
        <v>E108-rohit kumar</v>
      </c>
      <c r="V10" s="37"/>
      <c r="W10" s="37" t="str">
        <f t="shared" si="11"/>
        <v>Rohit Kumar|Marketing|Hyderabad</v>
      </c>
      <c r="X10" s="37"/>
      <c r="Y10" s="37"/>
      <c r="Z10" s="37" t="str">
        <f t="shared" si="12"/>
        <v>rohit.kumar@company.com</v>
      </c>
      <c r="AA10" s="37"/>
      <c r="AB10" s="37"/>
      <c r="AC10" s="37">
        <f t="shared" si="13"/>
        <v>9</v>
      </c>
      <c r="AD10" s="37">
        <f t="shared" si="14"/>
        <v>1</v>
      </c>
      <c r="AE10" s="37">
        <f t="shared" si="15"/>
        <v>2023</v>
      </c>
      <c r="AF10" s="37">
        <f t="shared" si="16"/>
        <v>2023</v>
      </c>
      <c r="AG10" s="39" t="str">
        <f t="shared" si="17"/>
        <v>January</v>
      </c>
      <c r="AH10" s="40" t="str">
        <f t="shared" si="18"/>
        <v>Jan-23</v>
      </c>
      <c r="AI10" s="41" t="str">
        <f t="shared" ca="1" si="19"/>
        <v>31 YEARS</v>
      </c>
    </row>
    <row r="11" spans="1:39">
      <c r="A11" s="24" t="s">
        <v>62</v>
      </c>
      <c r="B11" s="25" t="s">
        <v>63</v>
      </c>
      <c r="C11" s="26" t="s">
        <v>64</v>
      </c>
      <c r="D11" s="25" t="s">
        <v>5</v>
      </c>
      <c r="E11" s="25" t="s">
        <v>51</v>
      </c>
      <c r="F11" s="27">
        <v>43996</v>
      </c>
      <c r="G11" s="27">
        <v>34870</v>
      </c>
      <c r="H11" s="25" t="s">
        <v>65</v>
      </c>
      <c r="I11" s="25">
        <v>55000</v>
      </c>
      <c r="J11" s="28" t="str">
        <f t="shared" si="0"/>
        <v>MUM</v>
      </c>
      <c r="K11" s="28" t="str">
        <f t="shared" si="1"/>
        <v>109</v>
      </c>
      <c r="L11" s="28" t="str">
        <f t="shared" si="2"/>
        <v>HR-</v>
      </c>
      <c r="M11" s="28">
        <f t="shared" si="3"/>
        <v>13</v>
      </c>
      <c r="N11" s="29" t="str">
        <f t="shared" si="4"/>
        <v>ANJALI SHARMA</v>
      </c>
      <c r="O11" s="29" t="str">
        <f t="shared" si="5"/>
        <v>Anjali Sharma</v>
      </c>
      <c r="P11" s="29" t="str">
        <f t="shared" si="6"/>
        <v>Anjali Sharma</v>
      </c>
      <c r="Q11" s="28">
        <f t="shared" si="7"/>
        <v>14</v>
      </c>
      <c r="R11" s="29" t="str">
        <f t="shared" si="8"/>
        <v>anjali.sharma</v>
      </c>
      <c r="S11" s="29" t="str">
        <f t="shared" si="9"/>
        <v>gmail.com</v>
      </c>
      <c r="T11" s="29"/>
      <c r="U11" s="28" t="str">
        <f t="shared" si="10"/>
        <v>E109-ANJALI SHARMA</v>
      </c>
      <c r="V11" s="28"/>
      <c r="W11" s="28" t="str">
        <f t="shared" si="11"/>
        <v>Anjali Sharma|Hr|Mumbai</v>
      </c>
      <c r="X11" s="28"/>
      <c r="Y11" s="28"/>
      <c r="Z11" s="28" t="str">
        <f t="shared" si="12"/>
        <v>anjali.sharma@company.com</v>
      </c>
      <c r="AA11" s="28"/>
      <c r="AB11" s="28"/>
      <c r="AC11" s="28">
        <f t="shared" si="13"/>
        <v>14</v>
      </c>
      <c r="AD11" s="28">
        <f t="shared" si="14"/>
        <v>6</v>
      </c>
      <c r="AE11" s="28">
        <f t="shared" si="15"/>
        <v>2020</v>
      </c>
      <c r="AF11" s="28">
        <f t="shared" si="16"/>
        <v>2020</v>
      </c>
      <c r="AG11" s="30" t="str">
        <f t="shared" si="17"/>
        <v>June</v>
      </c>
      <c r="AH11" s="31" t="str">
        <f t="shared" si="18"/>
        <v>Jun-20</v>
      </c>
      <c r="AI11" s="32" t="str">
        <f t="shared" ca="1" si="19"/>
        <v>31 YEARS</v>
      </c>
    </row>
    <row r="12" spans="1:39">
      <c r="A12" s="33" t="s">
        <v>66</v>
      </c>
      <c r="B12" s="34" t="s">
        <v>67</v>
      </c>
      <c r="C12" s="35" t="s">
        <v>68</v>
      </c>
      <c r="D12" s="34" t="s">
        <v>3</v>
      </c>
      <c r="E12" s="34" t="s">
        <v>42</v>
      </c>
      <c r="F12" s="36">
        <v>45168</v>
      </c>
      <c r="G12" s="36">
        <v>34871</v>
      </c>
      <c r="H12" s="34" t="s">
        <v>69</v>
      </c>
      <c r="I12" s="34">
        <v>47000</v>
      </c>
      <c r="J12" s="37" t="str">
        <f t="shared" si="0"/>
        <v>CHE</v>
      </c>
      <c r="K12" s="37" t="str">
        <f t="shared" si="1"/>
        <v>110</v>
      </c>
      <c r="L12" s="37" t="str">
        <f t="shared" si="2"/>
        <v>IT-</v>
      </c>
      <c r="M12" s="37">
        <f t="shared" si="3"/>
        <v>12</v>
      </c>
      <c r="N12" s="38" t="str">
        <f t="shared" si="4"/>
        <v>Vikram Singh</v>
      </c>
      <c r="O12" s="38" t="str">
        <f t="shared" si="5"/>
        <v>Vikram Singh</v>
      </c>
      <c r="P12" s="38" t="str">
        <f t="shared" si="6"/>
        <v>Vikram Singh</v>
      </c>
      <c r="Q12" s="37">
        <f t="shared" si="7"/>
        <v>13</v>
      </c>
      <c r="R12" s="38" t="str">
        <f t="shared" si="8"/>
        <v>vikram.singh</v>
      </c>
      <c r="S12" s="38" t="str">
        <f t="shared" si="9"/>
        <v>yahoo.com</v>
      </c>
      <c r="T12" s="38"/>
      <c r="U12" s="37" t="str">
        <f t="shared" si="10"/>
        <v>E110-Vikram Singh</v>
      </c>
      <c r="V12" s="37"/>
      <c r="W12" s="37" t="str">
        <f t="shared" si="11"/>
        <v>Vikram Singh|It|Chennai</v>
      </c>
      <c r="X12" s="37"/>
      <c r="Y12" s="37"/>
      <c r="Z12" s="37" t="str">
        <f t="shared" si="12"/>
        <v>vikram.singh@company.com</v>
      </c>
      <c r="AA12" s="37"/>
      <c r="AB12" s="37"/>
      <c r="AC12" s="37">
        <f t="shared" si="13"/>
        <v>30</v>
      </c>
      <c r="AD12" s="37">
        <f t="shared" si="14"/>
        <v>8</v>
      </c>
      <c r="AE12" s="37">
        <f t="shared" si="15"/>
        <v>2023</v>
      </c>
      <c r="AF12" s="37">
        <f t="shared" si="16"/>
        <v>2023</v>
      </c>
      <c r="AG12" s="39" t="str">
        <f t="shared" si="17"/>
        <v>August</v>
      </c>
      <c r="AH12" s="40" t="str">
        <f t="shared" si="18"/>
        <v>Aug-23</v>
      </c>
      <c r="AI12" s="41" t="str">
        <f t="shared" ca="1" si="19"/>
        <v>31 YEARS</v>
      </c>
    </row>
    <row r="13" spans="1:39">
      <c r="A13" s="24" t="s">
        <v>70</v>
      </c>
      <c r="B13" s="25" t="s">
        <v>71</v>
      </c>
      <c r="C13" s="26" t="s">
        <v>72</v>
      </c>
      <c r="D13" s="25" t="s">
        <v>8</v>
      </c>
      <c r="E13" s="25" t="s">
        <v>28</v>
      </c>
      <c r="F13" s="27">
        <v>44604</v>
      </c>
      <c r="G13" s="27">
        <v>34872</v>
      </c>
      <c r="H13" s="25" t="s">
        <v>73</v>
      </c>
      <c r="I13" s="25">
        <v>46000</v>
      </c>
      <c r="J13" s="28" t="str">
        <f t="shared" si="0"/>
        <v>HYD</v>
      </c>
      <c r="K13" s="28" t="str">
        <f t="shared" si="1"/>
        <v>111</v>
      </c>
      <c r="L13" s="28" t="str">
        <f t="shared" si="2"/>
        <v>SAL</v>
      </c>
      <c r="M13" s="28">
        <f t="shared" si="3"/>
        <v>10</v>
      </c>
      <c r="N13" s="29" t="str">
        <f t="shared" si="4"/>
        <v>Neha Patel</v>
      </c>
      <c r="O13" s="29" t="str">
        <f t="shared" si="5"/>
        <v>Neha Patel</v>
      </c>
      <c r="P13" s="29" t="str">
        <f t="shared" si="6"/>
        <v>Neha Patel</v>
      </c>
      <c r="Q13" s="28">
        <f t="shared" si="7"/>
        <v>11</v>
      </c>
      <c r="R13" s="29" t="str">
        <f t="shared" si="8"/>
        <v>neha.patel</v>
      </c>
      <c r="S13" s="29" t="str">
        <f t="shared" si="9"/>
        <v>gmail.com</v>
      </c>
      <c r="T13" s="29"/>
      <c r="U13" s="28" t="str">
        <f t="shared" si="10"/>
        <v>E111-Neha Patel</v>
      </c>
      <c r="V13" s="28"/>
      <c r="W13" s="28" t="str">
        <f t="shared" si="11"/>
        <v>Neha Patel|Sales|Hyderabad</v>
      </c>
      <c r="X13" s="28"/>
      <c r="Y13" s="28"/>
      <c r="Z13" s="28" t="str">
        <f t="shared" si="12"/>
        <v>neha.patel@company.com</v>
      </c>
      <c r="AA13" s="28"/>
      <c r="AB13" s="28"/>
      <c r="AC13" s="28">
        <f t="shared" si="13"/>
        <v>12</v>
      </c>
      <c r="AD13" s="28">
        <f t="shared" si="14"/>
        <v>2</v>
      </c>
      <c r="AE13" s="28">
        <f t="shared" si="15"/>
        <v>2022</v>
      </c>
      <c r="AF13" s="28">
        <f t="shared" si="16"/>
        <v>2022</v>
      </c>
      <c r="AG13" s="30" t="str">
        <f t="shared" si="17"/>
        <v>February</v>
      </c>
      <c r="AH13" s="31" t="str">
        <f t="shared" si="18"/>
        <v>Feb-22</v>
      </c>
      <c r="AI13" s="32" t="str">
        <f t="shared" ca="1" si="19"/>
        <v>31 YEARS</v>
      </c>
    </row>
    <row r="14" spans="1:39">
      <c r="A14" s="33" t="s">
        <v>74</v>
      </c>
      <c r="B14" s="34" t="s">
        <v>75</v>
      </c>
      <c r="C14" s="35" t="s">
        <v>76</v>
      </c>
      <c r="D14" s="34" t="s">
        <v>6</v>
      </c>
      <c r="E14" s="34" t="s">
        <v>51</v>
      </c>
      <c r="F14" s="36">
        <v>44341</v>
      </c>
      <c r="G14" s="36">
        <v>34873</v>
      </c>
      <c r="H14" s="34" t="s">
        <v>77</v>
      </c>
      <c r="I14" s="34">
        <v>65000</v>
      </c>
      <c r="J14" s="37" t="str">
        <f t="shared" si="0"/>
        <v>MUM</v>
      </c>
      <c r="K14" s="37" t="str">
        <f t="shared" si="1"/>
        <v>112</v>
      </c>
      <c r="L14" s="37" t="str">
        <f t="shared" si="2"/>
        <v>FIN</v>
      </c>
      <c r="M14" s="37">
        <f t="shared" si="3"/>
        <v>10</v>
      </c>
      <c r="N14" s="38" t="str">
        <f t="shared" si="4"/>
        <v>AMIT GUPTA</v>
      </c>
      <c r="O14" s="38" t="str">
        <f t="shared" si="5"/>
        <v>Amit Gupta</v>
      </c>
      <c r="P14" s="38" t="str">
        <f t="shared" si="6"/>
        <v>Amit Gupta</v>
      </c>
      <c r="Q14" s="37">
        <f t="shared" si="7"/>
        <v>11</v>
      </c>
      <c r="R14" s="38" t="str">
        <f t="shared" si="8"/>
        <v>amit.gupta</v>
      </c>
      <c r="S14" s="38" t="str">
        <f t="shared" si="9"/>
        <v>gmail.com</v>
      </c>
      <c r="T14" s="38"/>
      <c r="U14" s="37" t="str">
        <f t="shared" si="10"/>
        <v>E112-AMIT GUPTA</v>
      </c>
      <c r="V14" s="37"/>
      <c r="W14" s="37" t="str">
        <f t="shared" si="11"/>
        <v>Amit Gupta|Finance|Mumbai</v>
      </c>
      <c r="X14" s="37"/>
      <c r="Y14" s="37"/>
      <c r="Z14" s="37" t="str">
        <f t="shared" si="12"/>
        <v>amit.gupta@company.com</v>
      </c>
      <c r="AA14" s="37"/>
      <c r="AB14" s="37"/>
      <c r="AC14" s="37">
        <f t="shared" si="13"/>
        <v>25</v>
      </c>
      <c r="AD14" s="37">
        <f t="shared" si="14"/>
        <v>5</v>
      </c>
      <c r="AE14" s="37">
        <f t="shared" si="15"/>
        <v>2021</v>
      </c>
      <c r="AF14" s="37">
        <f t="shared" si="16"/>
        <v>2021</v>
      </c>
      <c r="AG14" s="39" t="str">
        <f t="shared" si="17"/>
        <v>May</v>
      </c>
      <c r="AH14" s="40" t="str">
        <f t="shared" si="18"/>
        <v>May-21</v>
      </c>
      <c r="AI14" s="41" t="str">
        <f t="shared" ca="1" si="19"/>
        <v>31 YEARS</v>
      </c>
    </row>
    <row r="15" spans="1:39">
      <c r="A15" s="24" t="s">
        <v>78</v>
      </c>
      <c r="B15" s="25" t="s">
        <v>79</v>
      </c>
      <c r="C15" s="26" t="s">
        <v>80</v>
      </c>
      <c r="D15" s="25" t="s">
        <v>60</v>
      </c>
      <c r="E15" s="25" t="s">
        <v>37</v>
      </c>
      <c r="F15" s="27">
        <v>45572</v>
      </c>
      <c r="G15" s="27">
        <v>34874</v>
      </c>
      <c r="H15" s="25" t="s">
        <v>81</v>
      </c>
      <c r="I15" s="25">
        <v>40000</v>
      </c>
      <c r="J15" s="28" t="str">
        <f t="shared" si="0"/>
        <v>BLR</v>
      </c>
      <c r="K15" s="28" t="str">
        <f t="shared" si="1"/>
        <v>113</v>
      </c>
      <c r="L15" s="28" t="str">
        <f t="shared" si="2"/>
        <v>MKT</v>
      </c>
      <c r="M15" s="28">
        <f t="shared" si="3"/>
        <v>10</v>
      </c>
      <c r="N15" s="29" t="str">
        <f t="shared" si="4"/>
        <v>pooja nair</v>
      </c>
      <c r="O15" s="29" t="str">
        <f t="shared" si="5"/>
        <v>Pooja Nair</v>
      </c>
      <c r="P15" s="29" t="str">
        <f t="shared" si="6"/>
        <v>Pooja Nair</v>
      </c>
      <c r="Q15" s="28">
        <f t="shared" si="7"/>
        <v>11</v>
      </c>
      <c r="R15" s="29" t="str">
        <f t="shared" si="8"/>
        <v>pooja.nair</v>
      </c>
      <c r="S15" s="29" t="str">
        <f t="shared" si="9"/>
        <v>yahoo.com</v>
      </c>
      <c r="T15" s="29"/>
      <c r="U15" s="28" t="str">
        <f t="shared" si="10"/>
        <v>E113-pooja nair</v>
      </c>
      <c r="V15" s="28"/>
      <c r="W15" s="28" t="str">
        <f t="shared" si="11"/>
        <v>Pooja Nair|Marketing|Bangalore</v>
      </c>
      <c r="X15" s="28"/>
      <c r="Y15" s="28"/>
      <c r="Z15" s="28" t="str">
        <f t="shared" si="12"/>
        <v>pooja.nair@company.com</v>
      </c>
      <c r="AA15" s="28"/>
      <c r="AB15" s="28"/>
      <c r="AC15" s="28">
        <f t="shared" si="13"/>
        <v>7</v>
      </c>
      <c r="AD15" s="28">
        <f t="shared" si="14"/>
        <v>10</v>
      </c>
      <c r="AE15" s="28">
        <f t="shared" si="15"/>
        <v>2024</v>
      </c>
      <c r="AF15" s="28">
        <f t="shared" si="16"/>
        <v>2024</v>
      </c>
      <c r="AG15" s="30" t="str">
        <f t="shared" si="17"/>
        <v>October</v>
      </c>
      <c r="AH15" s="31" t="str">
        <f t="shared" si="18"/>
        <v>Oct-24</v>
      </c>
      <c r="AI15" s="32" t="str">
        <f t="shared" ca="1" si="19"/>
        <v>31 YEARS</v>
      </c>
    </row>
    <row r="16" spans="1:39">
      <c r="A16" s="33" t="s">
        <v>82</v>
      </c>
      <c r="B16" s="34" t="s">
        <v>83</v>
      </c>
      <c r="C16" s="35" t="s">
        <v>84</v>
      </c>
      <c r="D16" s="34" t="s">
        <v>3</v>
      </c>
      <c r="E16" s="34" t="s">
        <v>28</v>
      </c>
      <c r="F16" s="36">
        <v>44911</v>
      </c>
      <c r="G16" s="36">
        <v>34875</v>
      </c>
      <c r="H16" s="34" t="s">
        <v>85</v>
      </c>
      <c r="I16" s="34">
        <v>58000</v>
      </c>
      <c r="J16" s="37" t="str">
        <f t="shared" si="0"/>
        <v>HYD</v>
      </c>
      <c r="K16" s="37" t="str">
        <f t="shared" si="1"/>
        <v>114</v>
      </c>
      <c r="L16" s="37" t="str">
        <f t="shared" si="2"/>
        <v>IT-</v>
      </c>
      <c r="M16" s="37">
        <f t="shared" si="3"/>
        <v>11</v>
      </c>
      <c r="N16" s="38" t="str">
        <f t="shared" si="4"/>
        <v>Suresh Babu</v>
      </c>
      <c r="O16" s="38" t="str">
        <f t="shared" si="5"/>
        <v>Suresh Babu</v>
      </c>
      <c r="P16" s="38" t="str">
        <f t="shared" si="6"/>
        <v>Suresh Babu</v>
      </c>
      <c r="Q16" s="37">
        <f t="shared" si="7"/>
        <v>12</v>
      </c>
      <c r="R16" s="38" t="str">
        <f t="shared" si="8"/>
        <v>suresh.babu</v>
      </c>
      <c r="S16" s="38" t="str">
        <f t="shared" si="9"/>
        <v>gmail.com</v>
      </c>
      <c r="T16" s="38"/>
      <c r="U16" s="37" t="str">
        <f t="shared" si="10"/>
        <v>E114-Suresh Babu</v>
      </c>
      <c r="V16" s="37"/>
      <c r="W16" s="37" t="str">
        <f t="shared" si="11"/>
        <v>Suresh Babu|It|Hyderabad</v>
      </c>
      <c r="X16" s="37"/>
      <c r="Y16" s="37"/>
      <c r="Z16" s="37" t="str">
        <f t="shared" si="12"/>
        <v>suresh.babu@company.com</v>
      </c>
      <c r="AA16" s="37"/>
      <c r="AB16" s="37"/>
      <c r="AC16" s="37">
        <f t="shared" si="13"/>
        <v>16</v>
      </c>
      <c r="AD16" s="37">
        <f t="shared" si="14"/>
        <v>12</v>
      </c>
      <c r="AE16" s="37">
        <f t="shared" si="15"/>
        <v>2022</v>
      </c>
      <c r="AF16" s="37">
        <f t="shared" si="16"/>
        <v>2022</v>
      </c>
      <c r="AG16" s="39" t="str">
        <f t="shared" si="17"/>
        <v>December</v>
      </c>
      <c r="AH16" s="40" t="str">
        <f t="shared" si="18"/>
        <v>Dec-22</v>
      </c>
      <c r="AI16" s="41" t="str">
        <f t="shared" ca="1" si="19"/>
        <v>31 YEARS</v>
      </c>
    </row>
    <row r="17" spans="1:35">
      <c r="A17" s="24" t="s">
        <v>86</v>
      </c>
      <c r="B17" s="25" t="s">
        <v>87</v>
      </c>
      <c r="C17" s="26" t="s">
        <v>88</v>
      </c>
      <c r="D17" s="25" t="s">
        <v>5</v>
      </c>
      <c r="E17" s="25" t="s">
        <v>42</v>
      </c>
      <c r="F17" s="27">
        <v>44988</v>
      </c>
      <c r="G17" s="27">
        <v>34876</v>
      </c>
      <c r="H17" s="25" t="s">
        <v>89</v>
      </c>
      <c r="I17" s="25">
        <v>43000</v>
      </c>
      <c r="J17" s="28" t="str">
        <f t="shared" si="0"/>
        <v>CHE</v>
      </c>
      <c r="K17" s="28" t="str">
        <f t="shared" si="1"/>
        <v>115</v>
      </c>
      <c r="L17" s="28" t="str">
        <f t="shared" si="2"/>
        <v>HR-</v>
      </c>
      <c r="M17" s="28">
        <f t="shared" si="3"/>
        <v>11</v>
      </c>
      <c r="N17" s="29" t="str">
        <f t="shared" si="4"/>
        <v>DIVYA REDDY</v>
      </c>
      <c r="O17" s="29" t="str">
        <f t="shared" si="5"/>
        <v>Divya Reddy</v>
      </c>
      <c r="P17" s="29" t="str">
        <f t="shared" si="6"/>
        <v>Divya Reddy</v>
      </c>
      <c r="Q17" s="28">
        <f t="shared" si="7"/>
        <v>12</v>
      </c>
      <c r="R17" s="29" t="str">
        <f t="shared" si="8"/>
        <v>divya.reddy</v>
      </c>
      <c r="S17" s="29" t="str">
        <f t="shared" si="9"/>
        <v>gmail.com</v>
      </c>
      <c r="T17" s="29"/>
      <c r="U17" s="28" t="str">
        <f t="shared" si="10"/>
        <v>E115-DIVYA REDDY</v>
      </c>
      <c r="V17" s="28"/>
      <c r="W17" s="28" t="str">
        <f t="shared" si="11"/>
        <v>Divya Reddy|Hr|Chennai</v>
      </c>
      <c r="X17" s="28"/>
      <c r="Y17" s="28"/>
      <c r="Z17" s="28" t="str">
        <f t="shared" si="12"/>
        <v>divya.reddy@company.com</v>
      </c>
      <c r="AA17" s="28"/>
      <c r="AB17" s="28"/>
      <c r="AC17" s="28">
        <f t="shared" si="13"/>
        <v>3</v>
      </c>
      <c r="AD17" s="28">
        <f t="shared" si="14"/>
        <v>3</v>
      </c>
      <c r="AE17" s="28">
        <f t="shared" si="15"/>
        <v>2023</v>
      </c>
      <c r="AF17" s="28">
        <f t="shared" si="16"/>
        <v>2023</v>
      </c>
      <c r="AG17" s="30" t="str">
        <f t="shared" si="17"/>
        <v>March</v>
      </c>
      <c r="AH17" s="31" t="str">
        <f t="shared" si="18"/>
        <v>Mar-23</v>
      </c>
      <c r="AI17" s="32" t="str">
        <f t="shared" ca="1" si="19"/>
        <v>31 YEARS</v>
      </c>
    </row>
    <row r="18" spans="1:35">
      <c r="A18" s="33" t="s">
        <v>90</v>
      </c>
      <c r="B18" s="34" t="s">
        <v>91</v>
      </c>
      <c r="C18" s="35" t="s">
        <v>92</v>
      </c>
      <c r="D18" s="34" t="s">
        <v>8</v>
      </c>
      <c r="E18" s="34" t="s">
        <v>51</v>
      </c>
      <c r="F18" s="36">
        <v>44001</v>
      </c>
      <c r="G18" s="36">
        <v>34877</v>
      </c>
      <c r="H18" s="34" t="s">
        <v>93</v>
      </c>
      <c r="I18" s="34">
        <v>51000</v>
      </c>
      <c r="J18" s="37" t="str">
        <f t="shared" si="0"/>
        <v>MUM</v>
      </c>
      <c r="K18" s="37" t="str">
        <f t="shared" si="1"/>
        <v>116</v>
      </c>
      <c r="L18" s="37" t="str">
        <f t="shared" si="2"/>
        <v>SAL</v>
      </c>
      <c r="M18" s="37">
        <f t="shared" si="3"/>
        <v>12</v>
      </c>
      <c r="N18" s="38" t="str">
        <f t="shared" si="4"/>
        <v>Naveen Kumar</v>
      </c>
      <c r="O18" s="38" t="str">
        <f t="shared" si="5"/>
        <v>Naveen Kumar</v>
      </c>
      <c r="P18" s="38" t="str">
        <f t="shared" si="6"/>
        <v>Naveen Kumar</v>
      </c>
      <c r="Q18" s="37">
        <f t="shared" si="7"/>
        <v>13</v>
      </c>
      <c r="R18" s="38" t="str">
        <f t="shared" si="8"/>
        <v>naveen.kumar</v>
      </c>
      <c r="S18" s="38" t="str">
        <f t="shared" si="9"/>
        <v>yahoo.com</v>
      </c>
      <c r="T18" s="38"/>
      <c r="U18" s="37" t="str">
        <f t="shared" si="10"/>
        <v>E116-Naveen Kumar</v>
      </c>
      <c r="V18" s="37"/>
      <c r="W18" s="37" t="str">
        <f t="shared" si="11"/>
        <v>Naveen Kumar|Sales|Mumbai</v>
      </c>
      <c r="X18" s="37"/>
      <c r="Y18" s="37"/>
      <c r="Z18" s="37" t="str">
        <f t="shared" si="12"/>
        <v>naveen.kumar@company.com</v>
      </c>
      <c r="AA18" s="37"/>
      <c r="AB18" s="37"/>
      <c r="AC18" s="37">
        <f t="shared" si="13"/>
        <v>19</v>
      </c>
      <c r="AD18" s="37">
        <f t="shared" si="14"/>
        <v>6</v>
      </c>
      <c r="AE18" s="37">
        <f t="shared" si="15"/>
        <v>2020</v>
      </c>
      <c r="AF18" s="37">
        <f t="shared" si="16"/>
        <v>2020</v>
      </c>
      <c r="AG18" s="39" t="str">
        <f t="shared" si="17"/>
        <v>June</v>
      </c>
      <c r="AH18" s="40" t="str">
        <f t="shared" si="18"/>
        <v>Jun-20</v>
      </c>
      <c r="AI18" s="41" t="str">
        <f t="shared" ca="1" si="19"/>
        <v>31 YEARS</v>
      </c>
    </row>
    <row r="19" spans="1:35">
      <c r="A19" s="24" t="s">
        <v>94</v>
      </c>
      <c r="B19" s="25" t="s">
        <v>95</v>
      </c>
      <c r="C19" s="26" t="s">
        <v>96</v>
      </c>
      <c r="D19" s="25" t="s">
        <v>6</v>
      </c>
      <c r="E19" s="25" t="s">
        <v>28</v>
      </c>
      <c r="F19" s="27">
        <v>45319</v>
      </c>
      <c r="G19" s="27">
        <v>34878</v>
      </c>
      <c r="H19" s="25" t="s">
        <v>97</v>
      </c>
      <c r="I19" s="25">
        <v>49000</v>
      </c>
      <c r="J19" s="28" t="str">
        <f t="shared" si="0"/>
        <v>HYD</v>
      </c>
      <c r="K19" s="28" t="str">
        <f t="shared" si="1"/>
        <v>117</v>
      </c>
      <c r="L19" s="28" t="str">
        <f t="shared" si="2"/>
        <v>FIN</v>
      </c>
      <c r="M19" s="28">
        <f t="shared" si="3"/>
        <v>10</v>
      </c>
      <c r="N19" s="29" t="str">
        <f t="shared" si="4"/>
        <v>Swathi Rao</v>
      </c>
      <c r="O19" s="29" t="str">
        <f t="shared" si="5"/>
        <v>Swathi Rao</v>
      </c>
      <c r="P19" s="29" t="str">
        <f t="shared" si="6"/>
        <v>Swathi Rao</v>
      </c>
      <c r="Q19" s="28">
        <f t="shared" si="7"/>
        <v>11</v>
      </c>
      <c r="R19" s="29" t="str">
        <f t="shared" si="8"/>
        <v>swathi.rao</v>
      </c>
      <c r="S19" s="29" t="str">
        <f t="shared" si="9"/>
        <v>gmail.com</v>
      </c>
      <c r="T19" s="29"/>
      <c r="U19" s="28" t="str">
        <f t="shared" si="10"/>
        <v>E117-Swathi Rao</v>
      </c>
      <c r="V19" s="28"/>
      <c r="W19" s="28" t="str">
        <f t="shared" si="11"/>
        <v>Swathi Rao|Finance|Hyderabad</v>
      </c>
      <c r="X19" s="28"/>
      <c r="Y19" s="28"/>
      <c r="Z19" s="28" t="str">
        <f t="shared" si="12"/>
        <v>swathi.rao@company.com</v>
      </c>
      <c r="AA19" s="28"/>
      <c r="AB19" s="28"/>
      <c r="AC19" s="28">
        <f t="shared" si="13"/>
        <v>28</v>
      </c>
      <c r="AD19" s="28">
        <f t="shared" si="14"/>
        <v>1</v>
      </c>
      <c r="AE19" s="28">
        <f t="shared" si="15"/>
        <v>2024</v>
      </c>
      <c r="AF19" s="28">
        <f t="shared" si="16"/>
        <v>2024</v>
      </c>
      <c r="AG19" s="30" t="str">
        <f t="shared" si="17"/>
        <v>January</v>
      </c>
      <c r="AH19" s="31" t="str">
        <f t="shared" si="18"/>
        <v>Jan-24</v>
      </c>
      <c r="AI19" s="32" t="str">
        <f t="shared" ca="1" si="19"/>
        <v>31 YEARS</v>
      </c>
    </row>
    <row r="20" spans="1:35">
      <c r="A20" s="42" t="s">
        <v>98</v>
      </c>
      <c r="B20" s="43" t="s">
        <v>99</v>
      </c>
      <c r="C20" s="44" t="s">
        <v>100</v>
      </c>
      <c r="D20" s="43" t="s">
        <v>60</v>
      </c>
      <c r="E20" s="43" t="s">
        <v>42</v>
      </c>
      <c r="F20" s="45">
        <v>44421</v>
      </c>
      <c r="G20" s="45">
        <v>34879</v>
      </c>
      <c r="H20" s="43" t="s">
        <v>101</v>
      </c>
      <c r="I20" s="43">
        <v>53000</v>
      </c>
      <c r="J20" s="46" t="str">
        <f t="shared" si="0"/>
        <v>CHE</v>
      </c>
      <c r="K20" s="46" t="str">
        <f t="shared" si="1"/>
        <v>118</v>
      </c>
      <c r="L20" s="46" t="str">
        <f t="shared" si="2"/>
        <v>MKT</v>
      </c>
      <c r="M20" s="46">
        <f t="shared" si="3"/>
        <v>11</v>
      </c>
      <c r="N20" s="13" t="str">
        <f t="shared" si="4"/>
        <v>RAHUL VERMA</v>
      </c>
      <c r="O20" s="13" t="str">
        <f t="shared" si="5"/>
        <v>Rahul Verma</v>
      </c>
      <c r="P20" s="13" t="str">
        <f t="shared" si="6"/>
        <v>Rahul Verma</v>
      </c>
      <c r="Q20" s="46">
        <f t="shared" si="7"/>
        <v>12</v>
      </c>
      <c r="R20" s="13" t="str">
        <f t="shared" si="8"/>
        <v>rahul.verma</v>
      </c>
      <c r="S20" s="13" t="str">
        <f t="shared" si="9"/>
        <v>gmail.com</v>
      </c>
      <c r="T20" s="13"/>
      <c r="U20" s="46" t="str">
        <f t="shared" si="10"/>
        <v>E118-RAHUL VERMA</v>
      </c>
      <c r="V20" s="46"/>
      <c r="W20" s="46" t="str">
        <f t="shared" si="11"/>
        <v>Rahul Verma|Marketing|Chennai</v>
      </c>
      <c r="X20" s="46"/>
      <c r="Y20" s="46"/>
      <c r="Z20" s="46" t="str">
        <f t="shared" si="12"/>
        <v>rahul.verma@company.com</v>
      </c>
      <c r="AA20" s="46"/>
      <c r="AB20" s="46"/>
      <c r="AC20" s="46">
        <f t="shared" si="13"/>
        <v>13</v>
      </c>
      <c r="AD20" s="46">
        <f t="shared" si="14"/>
        <v>8</v>
      </c>
      <c r="AE20" s="46">
        <f t="shared" si="15"/>
        <v>2021</v>
      </c>
      <c r="AF20" s="46">
        <f t="shared" si="16"/>
        <v>2021</v>
      </c>
      <c r="AG20" s="47" t="str">
        <f t="shared" si="17"/>
        <v>August</v>
      </c>
      <c r="AH20" s="48" t="str">
        <f t="shared" si="18"/>
        <v>Aug-21</v>
      </c>
      <c r="AI20" s="49" t="str">
        <f t="shared" ca="1" si="19"/>
        <v>31 YEARS</v>
      </c>
    </row>
    <row r="24" spans="1:35">
      <c r="B24" s="5" t="s">
        <v>102</v>
      </c>
    </row>
    <row r="25" spans="1:35">
      <c r="B25" s="5" t="s">
        <v>103</v>
      </c>
      <c r="AB25" s="12">
        <f ca="1">TODAY()</f>
        <v>46295</v>
      </c>
    </row>
    <row r="26" spans="1:35">
      <c r="B26" s="5"/>
    </row>
    <row r="27" spans="1:35">
      <c r="B27" s="5" t="s">
        <v>104</v>
      </c>
    </row>
    <row r="28" spans="1:35">
      <c r="B28" s="5" t="s">
        <v>105</v>
      </c>
    </row>
    <row r="29" spans="1:35">
      <c r="B29" s="5"/>
    </row>
    <row r="30" spans="1:35">
      <c r="B30" s="5" t="s">
        <v>106</v>
      </c>
    </row>
    <row r="31" spans="1:35">
      <c r="B31" s="5" t="s">
        <v>107</v>
      </c>
    </row>
    <row r="32" spans="1:35">
      <c r="B32" s="5"/>
    </row>
    <row r="33" spans="2:10">
      <c r="B33" s="5" t="s">
        <v>108</v>
      </c>
    </row>
    <row r="34" spans="2:10">
      <c r="B34" s="5" t="s">
        <v>109</v>
      </c>
      <c r="J34" s="11" t="str">
        <f>_xlfn.TEXTJOIN("-",FALSE,A3,B3)</f>
        <v>E101-rahul sharma</v>
      </c>
    </row>
    <row r="35" spans="2:10">
      <c r="B35" s="5" t="s">
        <v>110</v>
      </c>
    </row>
    <row r="36" spans="2:10">
      <c r="B36" s="5" t="s">
        <v>111</v>
      </c>
    </row>
    <row r="37" spans="2:10">
      <c r="B37" s="5" t="s">
        <v>112</v>
      </c>
    </row>
    <row r="38" spans="2:10">
      <c r="B38" s="5" t="s">
        <v>113</v>
      </c>
    </row>
    <row r="39" spans="2:10">
      <c r="B39" s="5" t="s">
        <v>114</v>
      </c>
    </row>
    <row r="40" spans="2:10">
      <c r="B40" s="5" t="s">
        <v>115</v>
      </c>
    </row>
    <row r="41" spans="2:10">
      <c r="B41" s="5" t="s">
        <v>116</v>
      </c>
    </row>
    <row r="42" spans="2:10">
      <c r="B42" s="5" t="s">
        <v>117</v>
      </c>
    </row>
    <row r="43" spans="2:10">
      <c r="B43" s="5" t="s">
        <v>118</v>
      </c>
    </row>
    <row r="44" spans="2:10">
      <c r="B44" s="5" t="s">
        <v>119</v>
      </c>
    </row>
    <row r="45" spans="2:10">
      <c r="B45" s="6" t="s">
        <v>120</v>
      </c>
    </row>
    <row r="46" spans="2:10">
      <c r="B46" s="5" t="s">
        <v>121</v>
      </c>
    </row>
    <row r="47" spans="2:10">
      <c r="B47" s="6" t="s">
        <v>122</v>
      </c>
    </row>
    <row r="48" spans="2:10">
      <c r="B48" s="5" t="s">
        <v>123</v>
      </c>
    </row>
    <row r="52" spans="2:2" ht="31.2">
      <c r="B52" s="7" t="s">
        <v>124</v>
      </c>
    </row>
    <row r="53" spans="2:2">
      <c r="B53" s="5"/>
    </row>
    <row r="54" spans="2:2">
      <c r="B54" s="5" t="s">
        <v>125</v>
      </c>
    </row>
    <row r="55" spans="2:2">
      <c r="B55" s="5" t="s">
        <v>126</v>
      </c>
    </row>
    <row r="56" spans="2:2">
      <c r="B56" s="5" t="s">
        <v>127</v>
      </c>
    </row>
    <row r="57" spans="2:2">
      <c r="B57" s="5" t="s">
        <v>128</v>
      </c>
    </row>
    <row r="58" spans="2:2">
      <c r="B58" s="5" t="s">
        <v>129</v>
      </c>
    </row>
    <row r="59" spans="2:2">
      <c r="B59" s="5" t="s">
        <v>130</v>
      </c>
    </row>
    <row r="60" spans="2:2">
      <c r="B60" s="5" t="s">
        <v>131</v>
      </c>
    </row>
    <row r="61" spans="2:2">
      <c r="B61" s="8">
        <v>44562</v>
      </c>
    </row>
    <row r="62" spans="2:2">
      <c r="B62" s="5" t="s">
        <v>132</v>
      </c>
    </row>
  </sheetData>
  <phoneticPr fontId="7" type="noConversion"/>
  <hyperlinks>
    <hyperlink ref="C3" r:id="rId1" display="mailto:rahul.sharma@gmail.com" xr:uid="{1C3D5F69-312A-46FC-8DF4-852A62E9827F}"/>
    <hyperlink ref="C4" r:id="rId2" display="mailto:priya.reddy@gmail.com" xr:uid="{0FC4D80E-3CBB-4791-AE9B-F5080EDD2900}"/>
    <hyperlink ref="C5" r:id="rId3" display="mailto:anil.kumar@gmail.com" xr:uid="{BCFD3F2C-2646-4DF1-A711-BEE80CA40080}"/>
    <hyperlink ref="C6" r:id="rId4" display="mailto:sneha.rao@yahoo.com" xr:uid="{F70B1367-08F0-427C-8FCE-D91B96C8E8FC}"/>
    <hyperlink ref="C7" r:id="rId5" display="mailto:arjun.verma@gmail.com" xr:uid="{0B47202F-CA56-43C8-B032-DBD4422ED1CA}"/>
    <hyperlink ref="C8" r:id="rId6" display="mailto:meena.devi@gmail.com" xr:uid="{B1EEC86C-62F0-4C49-BEE4-01769DDF2205}"/>
    <hyperlink ref="C9" r:id="rId7" display="mailto:kiran.reddy@yahoo.com" xr:uid="{17B71614-A8F8-4C00-98EF-CE10B1EDD4E4}"/>
    <hyperlink ref="C10" r:id="rId8" display="mailto:rohit.kumar@gmail.com" xr:uid="{D51BB6DD-7CE8-47E7-A8E2-DD7EA2D4B4DD}"/>
    <hyperlink ref="C11" r:id="rId9" display="mailto:anjali.sharma@gmail.com" xr:uid="{29CA8FC0-A33D-4012-8CEB-CD9697E92BF4}"/>
    <hyperlink ref="C12" r:id="rId10" display="mailto:vikram.singh@yahoo.com" xr:uid="{4A12249C-FB4A-4522-84FF-5ADD4E5B24B7}"/>
    <hyperlink ref="C13" r:id="rId11" display="mailto:neha.patel@gmail.com" xr:uid="{9B4CF4B8-7AA3-4115-A664-C4E09740529A}"/>
    <hyperlink ref="C14" r:id="rId12" display="mailto:amit.gupta@gmail.com" xr:uid="{5622450A-1E95-440E-AB3D-22758964EA59}"/>
    <hyperlink ref="C15" r:id="rId13" display="mailto:pooja.nair@yahoo.com" xr:uid="{B6A0B4F9-098B-4671-83AC-75648B0D8950}"/>
    <hyperlink ref="C16" r:id="rId14" display="mailto:suresh.babu@gmail.com" xr:uid="{0137BE0B-0A8C-4D73-8CF1-C4D47CCFA7AF}"/>
    <hyperlink ref="C17" r:id="rId15" display="mailto:divya.reddy@gmail.com" xr:uid="{3501E415-3CB9-4B81-ACA0-F5A886041CD2}"/>
    <hyperlink ref="C18" r:id="rId16" display="mailto:naveen.kumar@yahoo.com" xr:uid="{C0FAAD72-BF57-4821-AE7F-7605012586E2}"/>
    <hyperlink ref="C19" r:id="rId17" display="mailto:swathi.rao@gmail.com" xr:uid="{4D7F550B-89EB-49F6-B13C-A1CAC9C8A0C4}"/>
    <hyperlink ref="C20" r:id="rId18" display="mailto:rahul.verma@gmail.com" xr:uid="{0BC2C5F5-1416-40A1-9CC2-9F2AF47F53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Adv.Xlookup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Aditya Pabbineedi</cp:lastModifiedBy>
  <dcterms:created xsi:type="dcterms:W3CDTF">2026-09-10T17:11:08Z</dcterms:created>
  <dcterms:modified xsi:type="dcterms:W3CDTF">2026-09-30T13:19:44Z</dcterms:modified>
</cp:coreProperties>
</file>