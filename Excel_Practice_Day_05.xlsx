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64" documentId="8_{4AB3786F-2453-44E9-811E-EE9652AF3D59}" xr6:coauthVersionLast="47" xr6:coauthVersionMax="47" xr10:uidLastSave="{78FF9744-D3A4-47C7-B802-211874496661}"/>
  <bookViews>
    <workbookView xWindow="-108" yWindow="-108" windowWidth="23256" windowHeight="12456" activeTab="1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2" l="1"/>
  <c r="L5" i="2"/>
  <c r="L7" i="5" a="1"/>
  <c r="L7" i="5" s="1"/>
  <c r="K7" i="5"/>
  <c r="K8" i="5"/>
  <c r="K9" i="5"/>
  <c r="K10" i="5"/>
  <c r="K5" i="3"/>
  <c r="J6" i="3"/>
  <c r="J5" i="3"/>
  <c r="G6" i="3"/>
  <c r="P21" i="3" a="1"/>
  <c r="P21" i="3" s="1"/>
  <c r="O18" i="3"/>
  <c r="O13" i="3"/>
  <c r="O10" i="3"/>
  <c r="O11" i="2"/>
  <c r="Q11" i="1"/>
  <c r="D14" i="6"/>
  <c r="I11" i="6"/>
  <c r="I12" i="6"/>
  <c r="I13" i="6"/>
  <c r="I14" i="6"/>
  <c r="I10" i="6"/>
  <c r="H11" i="6"/>
  <c r="H12" i="6"/>
  <c r="H13" i="6"/>
  <c r="H14" i="6"/>
  <c r="H10" i="6"/>
  <c r="G11" i="6"/>
  <c r="G12" i="6"/>
  <c r="G13" i="6"/>
  <c r="G14" i="6"/>
  <c r="G10" i="6"/>
  <c r="F10" i="6"/>
  <c r="F11" i="6"/>
  <c r="F12" i="6"/>
  <c r="F13" i="6"/>
  <c r="F14" i="6"/>
  <c r="C8" i="2"/>
  <c r="C9" i="2"/>
  <c r="C10" i="2"/>
  <c r="C7" i="2"/>
  <c r="B8" i="2"/>
  <c r="B9" i="2"/>
  <c r="B10" i="2"/>
  <c r="B7" i="2"/>
  <c r="D16" i="6"/>
  <c r="F12" i="1"/>
  <c r="C11" i="1"/>
  <c r="C10" i="1"/>
  <c r="C9" i="1"/>
  <c r="C8" i="1"/>
  <c r="D12" i="6"/>
  <c r="D10" i="6"/>
  <c r="L8" i="5" a="1"/>
  <c r="L8" i="5"/>
  <c r="L9" i="5" a="1"/>
  <c r="L9" i="5"/>
  <c r="L10" i="5" a="1"/>
  <c r="L10" i="5"/>
  <c r="I11" i="4"/>
  <c r="I12" i="4"/>
  <c r="I13" i="4"/>
  <c r="I14" i="4"/>
  <c r="I10" i="4"/>
  <c r="L3" i="4"/>
  <c r="L4" i="4"/>
  <c r="L5" i="4"/>
  <c r="L6" i="4"/>
  <c r="L2" i="4"/>
  <c r="K3" i="4"/>
  <c r="K4" i="4"/>
  <c r="K5" i="4"/>
  <c r="K6" i="4"/>
  <c r="K2" i="4"/>
  <c r="J3" i="4"/>
  <c r="J4" i="4"/>
  <c r="J5" i="4"/>
  <c r="J6" i="4"/>
  <c r="J2" i="4"/>
  <c r="I6" i="4"/>
  <c r="I3" i="4"/>
  <c r="I4" i="4"/>
  <c r="I5" i="4"/>
  <c r="I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<sst xmlns="http://schemas.openxmlformats.org/spreadsheetml/2006/main" count="209" uniqueCount="97">
  <si>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</si>
  <si>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</si>
  <si>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</si>
  <si>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</si>
  <si>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</si>
  <si>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</si>
  <si>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</si>
  <si>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</si>
  <si>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</si>
  <si>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</si>
  <si>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</si>
  <si>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</si>
  <si>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</si>
  <si>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</si>
  <si>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</si>
  <si>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</si>
  <si>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</si>
  <si>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</si>
  <si>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</si>
  <si>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</si>
  <si>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</si>
  <si>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</si>
  <si>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</si>
  <si>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</si>
  <si>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</si>
  <si>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</si>
  <si>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</si>
  <si>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</si>
  <si>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</si>
  <si>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</si>
  <si>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</si>
  <si>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</si>
  <si>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</si>
  <si>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</si>
  <si>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</si>
  <si>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</si>
  <si>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</si>
  <si>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</si>
  <si>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</si>
  <si>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</si>
  <si>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</si>
  <si>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</si>
  <si>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</si>
  <si>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</si>
  <si>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</si>
  <si>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</si>
  <si>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</si>
  <si>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</si>
  <si>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</si>
  <si>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</si>
  <si>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</si>
  <si>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</si>
  <si>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</si>
  <si>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</si>
  <si>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</si>
  <si>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</si>
  <si>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</si>
  <si>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</si>
  <si>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</si>
  <si>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</si>
  <si>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</si>
  <si>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</si>
  <si>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</si>
  <si>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</si>
  <si>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</si>
  <si>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</si>
  <si>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</si>
  <si>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</si>
  <si>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</si>
  <si>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</si>
  <si>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</si>
  <si>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</si>
  <si>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</si>
  <si>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</si>
  <si>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</si>
  <si>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</si>
  <si>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</si>
  <si>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</si>
  <si>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</si>
  <si>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</si>
  <si>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</si>
  <si>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</si>
  <si>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</si>
  <si>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</si>
  <si>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</si>
  <si>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</si>
  <si>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</si>
  <si>
    <t>RAHUL</t>
  </si>
  <si>
    <t xml:space="preserve">if here I want to find salary for employee ID of E101 </t>
  </si>
  <si>
    <t>using Vlookup</t>
  </si>
  <si>
    <t xml:space="preserve">if here I want to find Category for Product ID of P101 </t>
  </si>
  <si>
    <t>Here I Want To find the Employee Id for anil using XLOOKUP</t>
  </si>
  <si>
    <t>Here I Want To find the Employee Id for Aditya and display "NA"if not Found using XLOOKUP</t>
  </si>
  <si>
    <t>Aditya</t>
  </si>
  <si>
    <t>Here I want to find the position of employee ID E103 using MATCH</t>
  </si>
  <si>
    <t>Here I want to find the value of employee ID E103 using MATCH&amp;INDEX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</si>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</sst>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Q16"/>
  <sheetViews>
    <sheetView zoomScale="141" workbookViewId="0">
      <selection activeCell="I6" sqref="I6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  <col min="14" max="14" width="17.66406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1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1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  <c r="I3" t="s">
        <v>6</v>
      </c>
    </row>
    <row r="4" spans="1:1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  <c r="I4" t="s">
        <v>87</v>
      </c>
    </row>
    <row r="5" spans="1:1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17">
      <c r="A8" t="s">
        <v>20</v>
      </c>
      <c r="C8" t="str">
        <f>VLOOKUP(I3,B2:E5,2,FALSE)</f>
        <v>HR</v>
      </c>
      <c r="F8" s="6"/>
      <c r="I8" t="s">
        <v>0</v>
      </c>
      <c r="K8" t="s">
        <v>17</v>
      </c>
      <c r="P8" t="s">
        <v>5</v>
      </c>
    </row>
    <row r="9" spans="1:17">
      <c r="A9" t="s">
        <v>21</v>
      </c>
      <c r="C9" t="str">
        <f>VLOOKUP(I4,B3:E6,2,FALSE)</f>
        <v>IT</v>
      </c>
      <c r="F9" s="6"/>
    </row>
    <row r="10" spans="1:17">
      <c r="A10" t="s">
        <v>22</v>
      </c>
      <c r="C10" t="str">
        <f>VLOOKUP(A4,A2:E5,2,FALSE)</f>
        <v>Anil</v>
      </c>
      <c r="F10" s="6"/>
    </row>
    <row r="11" spans="1:17">
      <c r="A11" t="s">
        <v>23</v>
      </c>
      <c r="C11" t="str">
        <f>VLOOKUP(A5,A2:E5,4,FALSE)</f>
        <v>Hyderabad</v>
      </c>
      <c r="F11" s="6"/>
      <c r="K11" t="s">
        <v>88</v>
      </c>
      <c r="O11" t="s">
        <v>89</v>
      </c>
      <c r="Q11">
        <f>VLOOKUP(P8,A2:E5,5,FALSE)</f>
        <v>40000</v>
      </c>
    </row>
    <row r="12" spans="1:17">
      <c r="A12" t="s">
        <v>24</v>
      </c>
      <c r="F12" s="6" t="str">
        <f>VLOOKUP(K8,A2:E5,3,FALSE)</f>
        <v>Sales</v>
      </c>
    </row>
    <row r="13" spans="1:17">
      <c r="A13" t="s">
        <v>25</v>
      </c>
      <c r="F13" s="6"/>
    </row>
    <row r="14" spans="1:17">
      <c r="A14" t="s">
        <v>26</v>
      </c>
      <c r="F14" s="6"/>
    </row>
    <row r="15" spans="1:17">
      <c r="F15" s="6"/>
    </row>
    <row r="16" spans="1:17">
      <c r="F16" s="6"/>
    </row>
  </sheetData>
  <dataValidations count="1">
    <dataValidation type="list" allowBlank="1" showInputMessage="1" showErrorMessage="1" sqref="K8" xr:uid="{D595A3C5-2328-4CD3-B5E2-C2E878151EBD}">
      <formula1>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O11"/>
  <sheetViews>
    <sheetView tabSelected="1" zoomScale="92" workbookViewId="0">
      <selection activeCell="O15" sqref="O15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1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1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1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1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5" spans="1:15">
      <c r="L5">
        <f>MATCH(B7,B7:B10,0)</f>
        <v>1</v>
      </c>
    </row>
    <row r="6" spans="1:15">
      <c r="B6" s="1" t="s">
        <v>32</v>
      </c>
      <c r="C6" s="1" t="s">
        <v>37</v>
      </c>
      <c r="L6" t="str">
        <f>INDEX(B7:B10,MATCH("P102",A7:A10,0))</f>
        <v>Mouse</v>
      </c>
    </row>
    <row r="7" spans="1:15">
      <c r="A7" s="7" t="s">
        <v>28</v>
      </c>
      <c r="B7" t="str">
        <f>HLOOKUP(A7,$B$1:$E$4,2,FALSE)</f>
        <v>Laptop</v>
      </c>
      <c r="C7">
        <f>HLOOKUP(A7,$B$1:$E$4,3,FALSE)</f>
        <v>55000</v>
      </c>
    </row>
    <row r="8" spans="1:15">
      <c r="A8" s="7" t="s">
        <v>29</v>
      </c>
      <c r="B8" t="str">
        <f t="shared" ref="B8:B10" si="0">HLOOKUP(A8,$B$1:$E$4,2,FALSE)</f>
        <v>Mouse</v>
      </c>
      <c r="C8">
        <f t="shared" ref="C8:C10" si="1">HLOOKUP(A8,$B$1:$E$4,3,FALSE)</f>
        <v>800</v>
      </c>
    </row>
    <row r="9" spans="1:15">
      <c r="A9" s="7" t="s">
        <v>30</v>
      </c>
      <c r="B9" t="str">
        <f t="shared" si="0"/>
        <v>Keyboard</v>
      </c>
      <c r="C9">
        <f t="shared" si="1"/>
        <v>1500</v>
      </c>
    </row>
    <row r="10" spans="1:15">
      <c r="A10" s="7" t="s">
        <v>31</v>
      </c>
      <c r="B10" t="str">
        <f t="shared" si="0"/>
        <v>Monitor</v>
      </c>
      <c r="C10">
        <f t="shared" si="1"/>
        <v>12000</v>
      </c>
    </row>
    <row r="11" spans="1:15">
      <c r="A11" s="7"/>
      <c r="I11" s="13" t="s">
        <v>90</v>
      </c>
      <c r="J11" s="13"/>
      <c r="K11" s="13"/>
      <c r="L11" s="13"/>
      <c r="M11" s="13"/>
      <c r="O11" t="str">
        <f>HLOOKUP(B1,B1:E4,4,FALSE)</f>
        <v>Electronics</v>
      </c>
    </row>
  </sheetData>
  <mergeCells count="1">
    <mergeCell ref="I11:M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Q21"/>
  <sheetViews>
    <sheetView zoomScale="134" workbookViewId="0">
      <selection activeCell="K6" sqref="K6"/>
    </sheetView>
  </sheetViews>
  <sheetFormatPr defaultRowHeight="14.4"/>
  <cols>
    <col min="1" max="1" width="14.109375" customWidth="1"/>
    <col min="2" max="2" width="15.77734375" customWidth="1"/>
    <col min="3" max="3" width="17" customWidth="1"/>
    <col min="13" max="13" width="36.33203125" customWidth="1"/>
  </cols>
  <sheetData>
    <row r="1" spans="1:17">
      <c r="A1" s="2" t="s">
        <v>0</v>
      </c>
      <c r="B1" s="2" t="s">
        <v>1</v>
      </c>
      <c r="C1" s="2" t="s">
        <v>2</v>
      </c>
      <c r="D1" s="4" t="s">
        <v>4</v>
      </c>
    </row>
    <row r="2" spans="1:17">
      <c r="A2" s="5" t="s">
        <v>5</v>
      </c>
      <c r="B2" s="5" t="s">
        <v>6</v>
      </c>
      <c r="C2" s="5" t="s">
        <v>7</v>
      </c>
      <c r="D2" s="8">
        <v>40000</v>
      </c>
    </row>
    <row r="3" spans="1:17">
      <c r="A3" s="5" t="s">
        <v>9</v>
      </c>
      <c r="B3" s="5" t="s">
        <v>10</v>
      </c>
      <c r="C3" s="5" t="s">
        <v>11</v>
      </c>
      <c r="D3" s="8">
        <v>55000</v>
      </c>
      <c r="J3" t="s">
        <v>96</v>
      </c>
    </row>
    <row r="4" spans="1:17">
      <c r="A4" s="5" t="s">
        <v>13</v>
      </c>
      <c r="B4" s="5" t="s">
        <v>14</v>
      </c>
      <c r="C4" s="5" t="s">
        <v>15</v>
      </c>
      <c r="D4" s="8">
        <v>48000</v>
      </c>
    </row>
    <row r="5" spans="1:17">
      <c r="A5" s="5" t="s">
        <v>17</v>
      </c>
      <c r="B5" s="5" t="s">
        <v>18</v>
      </c>
      <c r="C5" s="5" t="s">
        <v>19</v>
      </c>
      <c r="D5" s="8">
        <v>42000</v>
      </c>
      <c r="J5" t="str">
        <f>VLOOKUP(B2,B2:D5,2,FALSE)</f>
        <v>HR</v>
      </c>
      <c r="K5" t="str">
        <f>_xlfn.XLOOKUP(J3,B2:B5,A2:A5,"Not Found")</f>
        <v>Not Found</v>
      </c>
    </row>
    <row r="6" spans="1:17">
      <c r="G6" t="str">
        <f>VLOOKUP(A2,A2:D5,3,FALSE)</f>
        <v>HR</v>
      </c>
      <c r="J6" t="str">
        <f>_xlfn.XLOOKUP(B2,B2:B5,A2:A5)</f>
        <v>E101</v>
      </c>
    </row>
    <row r="8" spans="1:17">
      <c r="A8" s="5"/>
    </row>
    <row r="10" spans="1:17">
      <c r="H10" t="s">
        <v>91</v>
      </c>
      <c r="O10" t="str">
        <f>_xlfn.XLOOKUP(B4,B2:B5,A2:A5)</f>
        <v>E103</v>
      </c>
      <c r="Q10" t="s">
        <v>93</v>
      </c>
    </row>
    <row r="13" spans="1:17">
      <c r="H13" t="s">
        <v>92</v>
      </c>
      <c r="O13" t="str">
        <f>_xlfn.XLOOKUP(Q10,B2:B5,A2:A5,"NA")</f>
        <v>NA</v>
      </c>
    </row>
    <row r="18" spans="8:16">
      <c r="H18" s="13" t="s">
        <v>94</v>
      </c>
      <c r="I18" s="13"/>
      <c r="J18" s="13"/>
      <c r="K18" s="13"/>
      <c r="L18" s="13"/>
      <c r="M18" s="13"/>
      <c r="O18">
        <f>MATCH(A4,A2:A5,0)</f>
        <v>3</v>
      </c>
    </row>
    <row r="21" spans="8:16">
      <c r="I21" s="13" t="s">
        <v>95</v>
      </c>
      <c r="J21" s="13"/>
      <c r="K21" s="13"/>
      <c r="L21" s="13"/>
      <c r="M21" s="13"/>
      <c r="N21" s="13"/>
      <c r="P21" t="str" cm="1">
        <f t="array" ref="P21">INDEX(A2:A5,O18)</f>
        <v>E103</v>
      </c>
    </row>
  </sheetData>
  <mergeCells count="2">
    <mergeCell ref="H18:M18"/>
    <mergeCell ref="I21:N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23" sqref="H23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VLOOKUP(H2,A2:E16,2,FALSE)</f>
        <v>Keyboard</v>
      </c>
      <c r="J2" s="5" t="str">
        <f>VLOOKUP(H2,$A$2:$E$16,3,FALSE)</f>
        <v>Accessories</v>
      </c>
      <c r="K2" s="5" t="str">
        <f>VLOOKUP(H2,$A$2:$E$16,4,FALSE)</f>
        <v>HP</v>
      </c>
      <c r="L2" s="5">
        <f>VLOOKUP(H2,$A$2:$E$16,5,FALSE)</f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 t="shared" ref="I3:I5" si="0">VLOOKUP(H3,A3:E17,2,FALSE)</f>
        <v>Headphones</v>
      </c>
      <c r="J3" s="5" t="str">
        <f t="shared" ref="J3:J6" si="1">VLOOKUP(H3,$A$2:$E$16,3,FALSE)</f>
        <v>Accessories</v>
      </c>
      <c r="K3" s="5" t="str">
        <f t="shared" ref="K3:K6" si="2">VLOOKUP(H3,$A$2:$E$16,4,FALSE)</f>
        <v>Sony</v>
      </c>
      <c r="L3" s="5">
        <f t="shared" ref="L3:L6" si="3">VLOOKUP(H3,$A$2:$E$16,5,FALSE)</f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 t="shared" si="0"/>
        <v>Tablet</v>
      </c>
      <c r="J4" s="5" t="str">
        <f t="shared" si="1"/>
        <v>Electronics</v>
      </c>
      <c r="K4" s="5" t="str">
        <f t="shared" si="2"/>
        <v>Lenovo</v>
      </c>
      <c r="L4" s="5">
        <f t="shared" si="3"/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 t="shared" si="0"/>
        <v>SSD</v>
      </c>
      <c r="J5" s="5" t="str">
        <f t="shared" si="1"/>
        <v>Storage</v>
      </c>
      <c r="K5" s="5" t="str">
        <f t="shared" si="2"/>
        <v>Samsung</v>
      </c>
      <c r="L5" s="5">
        <f t="shared" si="3"/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>VLOOKUP(H6,A2:E16,2,FALSE)</f>
        <v>Laptop</v>
      </c>
      <c r="J6" s="5" t="str">
        <f t="shared" si="1"/>
        <v>Electronics</v>
      </c>
      <c r="K6" s="5" t="str">
        <f t="shared" si="2"/>
        <v>Dell</v>
      </c>
      <c r="L6" s="5">
        <f t="shared" si="3"/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_xlfn.XLOOKUP(H10,B2:B16,A2:A16)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4">_xlfn.XLOOKUP(H11,B3:B17,A3:A17)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4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4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4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M7" sqref="M7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MATCH(J7,$J$7:$J$10,0)</f>
        <v>1</v>
      </c>
      <c r="L7" s="11" t="str" cm="1">
        <f t="array" ref="L7">INDEX($J$7:$J$10,K7)</f>
        <v>Laptop</v>
      </c>
    </row>
    <row r="8" spans="10:12" ht="21">
      <c r="J8" s="10" t="s">
        <v>34</v>
      </c>
      <c r="K8" s="11">
        <f t="shared" ref="K8:K10" si="0">MATCH(J8,$J$7:$J$10,0)</f>
        <v>2</v>
      </c>
      <c r="L8" s="11" t="str" cm="1">
        <f t="array" ref="L8">INDEX($J$7:$J$10,K8)</f>
        <v>Mouse</v>
      </c>
    </row>
    <row r="9" spans="10:12" ht="21">
      <c r="J9" s="10" t="s">
        <v>35</v>
      </c>
      <c r="K9" s="11">
        <f t="shared" si="0"/>
        <v>3</v>
      </c>
      <c r="L9" s="11" t="str" cm="1">
        <f t="array" ref="L9">INDEX($J$7:$J$10,K9)</f>
        <v>Keyboard</v>
      </c>
    </row>
    <row r="10" spans="10:12" ht="21">
      <c r="J10" s="10" t="s">
        <v>36</v>
      </c>
      <c r="K10" s="11">
        <f t="shared" si="0"/>
        <v>4</v>
      </c>
      <c r="L10" s="11" t="str" cm="1">
        <f t="array" ref="L10">INDEX($J$7:$J$10,K10)</f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8"/>
  <sheetViews>
    <sheetView workbookViewId="0">
      <selection activeCell="M14" sqref="M14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D10" t="str">
        <f>VLOOKUP(B3,B2:E6,2,FALSE)</f>
        <v>Accessories</v>
      </c>
      <c r="E10" s="1" t="s">
        <v>28</v>
      </c>
      <c r="F10" s="6" t="str">
        <f>_xlfn.XLOOKUP(E10,$A$2:$A$6,$B$2:$B$6)</f>
        <v>Laptop</v>
      </c>
      <c r="G10" s="6" t="str">
        <f>_xlfn.XLOOKUP(E10,$A$2:$A$6,$C$2:$C$6)</f>
        <v>Electronics</v>
      </c>
      <c r="H10" s="6" t="str">
        <f>_xlfn.XLOOKUP(E10,$A$2:$A$6,$D$2:$D$6)</f>
        <v>Dell</v>
      </c>
      <c r="I10" s="6">
        <f>_xlfn.XLOOKUP(E10,$A$2:$A$6,$E$2:$E$6)</f>
        <v>55000</v>
      </c>
    </row>
    <row r="11" spans="1:9">
      <c r="E11" s="1" t="s">
        <v>29</v>
      </c>
      <c r="F11" s="6" t="str">
        <f t="shared" ref="F11:F14" si="0">_xlfn.XLOOKUP(E11,$A$2:$A$6,$B$2:$B$6)</f>
        <v>Wireless Mouse</v>
      </c>
      <c r="G11" s="6" t="str">
        <f t="shared" ref="G11:G14" si="1">_xlfn.XLOOKUP(E11,$A$2:$A$6,$C$2:$C$6)</f>
        <v>Accessories</v>
      </c>
      <c r="H11" s="6" t="str">
        <f t="shared" ref="H11:H14" si="2">_xlfn.XLOOKUP(E11,$A$2:$A$6,$D$2:$D$6)</f>
        <v>Logitech</v>
      </c>
      <c r="I11" s="6">
        <f t="shared" ref="I11:I14" si="3">_xlfn.XLOOKUP(E11,$A$2:$A$6,$E$2:$E$6)</f>
        <v>1200</v>
      </c>
    </row>
    <row r="12" spans="1:9">
      <c r="A12" t="s">
        <v>84</v>
      </c>
      <c r="D12" t="str">
        <f>VLOOKUP(B5,B2:E6,3,FALSE)</f>
        <v>Samsung</v>
      </c>
      <c r="E12" s="1" t="s">
        <v>30</v>
      </c>
      <c r="F12" s="6" t="str">
        <f t="shared" si="0"/>
        <v>Keyboard</v>
      </c>
      <c r="G12" s="6" t="str">
        <f t="shared" si="1"/>
        <v>Accessories</v>
      </c>
      <c r="H12" s="6" t="str">
        <f t="shared" si="2"/>
        <v>HP</v>
      </c>
      <c r="I12" s="6">
        <f t="shared" si="3"/>
        <v>1800</v>
      </c>
    </row>
    <row r="13" spans="1:9">
      <c r="E13" s="1" t="s">
        <v>31</v>
      </c>
      <c r="F13" s="6" t="str">
        <f t="shared" si="0"/>
        <v>Monitor</v>
      </c>
      <c r="G13" s="6" t="str">
        <f t="shared" si="1"/>
        <v>Electronics</v>
      </c>
      <c r="H13" s="6" t="str">
        <f t="shared" si="2"/>
        <v>Samsung</v>
      </c>
      <c r="I13" s="6">
        <f t="shared" si="3"/>
        <v>15000</v>
      </c>
    </row>
    <row r="14" spans="1:9">
      <c r="A14" t="s">
        <v>85</v>
      </c>
      <c r="D14" t="str">
        <f>_xlfn.XLOOKUP(B18,B2:B6,E2:E6,"NOT FOUND")</f>
        <v>NOT FOUND</v>
      </c>
      <c r="E14" s="1" t="s">
        <v>49</v>
      </c>
      <c r="F14" s="6" t="str">
        <f t="shared" si="0"/>
        <v>Printer</v>
      </c>
      <c r="G14" s="6" t="str">
        <f t="shared" si="1"/>
        <v>Electronics</v>
      </c>
      <c r="H14" s="6" t="str">
        <f t="shared" si="2"/>
        <v>Canon</v>
      </c>
      <c r="I14" s="6">
        <f t="shared" si="3"/>
        <v>12500</v>
      </c>
    </row>
    <row r="16" spans="1:9">
      <c r="A16" t="s">
        <v>86</v>
      </c>
      <c r="D16" t="str">
        <f>_xlfn.XLOOKUP(D4,D2:D6,A2:A6)</f>
        <v>P103</v>
      </c>
    </row>
    <row r="18" spans="2:2">
      <c r="B1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2026-09-09T14:34:29Z</dcterms:created>
  <dcterms:modified xsi:type="dcterms:W3CDTF">2026-10-06T05:51:39Z</dcterms:modified>
</cp:coreProperties>
</file>