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CDE8DCBC-8B97-4B0B-AA3C-771FB40ACB9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Adv_Xlookup" sheetId="1" r:id="rId1"/>
    <sheet name="practi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D3" i="2" l="1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" i="2"/>
  <c r="S8" i="2"/>
  <c r="S2" i="2"/>
  <c r="S7" i="2"/>
  <c r="S9" i="2"/>
  <c r="S10" i="2"/>
  <c r="S11" i="2"/>
  <c r="S12" i="2"/>
  <c r="S13" i="2"/>
  <c r="S14" i="2"/>
  <c r="S15" i="2"/>
  <c r="S16" i="2"/>
  <c r="S17" i="2"/>
  <c r="S18" i="2"/>
  <c r="S19" i="2"/>
  <c r="S6" i="2"/>
  <c r="S5" i="2"/>
  <c r="S4" i="2"/>
  <c r="S3" i="2"/>
  <c r="E22" i="1" a="1"/>
  <c r="E22" i="1"/>
  <c r="F22" i="1" a="1"/>
  <c r="F22" i="1"/>
  <c r="G22" i="1" a="1"/>
  <c r="G22" i="1"/>
  <c r="D22" i="1" a="1"/>
  <c r="D22" i="1"/>
  <c r="C23" i="1"/>
  <c r="C24" i="1"/>
  <c r="C25" i="1"/>
  <c r="C22" i="1"/>
  <c r="J7" i="1" a="1"/>
  <c r="J7" i="1"/>
  <c r="J5" i="1"/>
  <c r="J4" i="1"/>
  <c r="J3" i="1"/>
  <c r="J2" i="1"/>
  <c r="K3" i="1" a="1"/>
  <c r="K3" i="1"/>
  <c r="K2" i="1" a="1"/>
  <c r="K2" i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" i="2"/>
  <c r="O1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2" i="2"/>
  <c r="N17" i="2"/>
  <c r="N18" i="2"/>
  <c r="N19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  <c r="L19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" i="2"/>
  <c r="L16" i="2"/>
  <c r="L17" i="2"/>
  <c r="L18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<sst xmlns="http://schemas.openxmlformats.org/spreadsheetml/2006/main" count="213" uniqueCount="156">
  <si>
    <t>Employee</t>
  </si>
  <si>
    <t>Department</t>
  </si>
  <si>
    <t>Minimum Sales</t>
  </si>
  <si>
    <t>Commission</t>
  </si>
  <si>
    <t>Employee Name</t>
  </si>
  <si>
    <t>Rahul</t>
  </si>
  <si>
    <t>IT</t>
  </si>
  <si>
    <t>Rahul Sharma</t>
  </si>
  <si>
    <t>Priya</t>
  </si>
  <si>
    <t>HR</t>
  </si>
  <si>
    <t>Rahul Verma</t>
  </si>
  <si>
    <t>Finance</t>
  </si>
  <si>
    <t>Priya Reddy</t>
  </si>
  <si>
    <t>Sneha</t>
  </si>
  <si>
    <t>Sales</t>
  </si>
  <si>
    <t>Priya Sharma</t>
  </si>
  <si>
    <t>Find the name beginning with Rahul</t>
  </si>
  <si>
    <t>Employee ID</t>
  </si>
  <si>
    <t>Location</t>
  </si>
  <si>
    <t>Salary</t>
  </si>
  <si>
    <t>E101</t>
  </si>
  <si>
    <t>Hyderabad</t>
  </si>
  <si>
    <t>E102</t>
  </si>
  <si>
    <t>Bangalore</t>
  </si>
  <si>
    <t>E103</t>
  </si>
  <si>
    <t>Anil</t>
  </si>
  <si>
    <t>Chennai</t>
  </si>
  <si>
    <t>E104</t>
  </si>
  <si>
    <t>Emp_ID</t>
  </si>
  <si>
    <t>Employee_Name</t>
  </si>
  <si>
    <t>Email</t>
  </si>
  <si>
    <t>Joining_Date</t>
  </si>
  <si>
    <t>DOB</t>
  </si>
  <si>
    <t>Employee_Code</t>
  </si>
  <si>
    <t>Q-1</t>
  </si>
  <si>
    <t>Q-2</t>
  </si>
  <si>
    <t>Q-3</t>
  </si>
  <si>
    <t>Q-4</t>
  </si>
  <si>
    <t>Q-5</t>
  </si>
  <si>
    <t>Q-6</t>
  </si>
  <si>
    <t>Q-7</t>
  </si>
  <si>
    <t>Q-8</t>
  </si>
  <si>
    <t>Q-9</t>
  </si>
  <si>
    <t>Q-10</t>
  </si>
  <si>
    <t>Q-11</t>
  </si>
  <si>
    <t>Q-12</t>
  </si>
  <si>
    <t>Q-13</t>
  </si>
  <si>
    <t>Q-14</t>
  </si>
  <si>
    <t>Q-15</t>
  </si>
  <si>
    <t>Q-16</t>
  </si>
  <si>
    <t>Q-17</t>
  </si>
  <si>
    <t>Q-18</t>
  </si>
  <si>
    <t>Q-19</t>
  </si>
  <si>
    <t>Q-20</t>
  </si>
  <si>
    <t>Q-21</t>
  </si>
  <si>
    <t>rahul sharma</t>
  </si>
  <si>
    <t>rahul.sharma@gmail.com</t>
  </si>
  <si>
    <t>HYD-SAL-101</t>
  </si>
  <si>
    <t>PRIYA REDDY</t>
  </si>
  <si>
    <t>priya.reddy@gmail.com</t>
  </si>
  <si>
    <t>HYD-FIN-102</t>
  </si>
  <si>
    <t>anil kumar</t>
  </si>
  <si>
    <t>anil.kumar@gmail.com</t>
  </si>
  <si>
    <t>BLR-IT-103</t>
  </si>
  <si>
    <t>Sneha Rao</t>
  </si>
  <si>
    <t>sneha.rao@yahoo.com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</si>
  <si>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</si>
  <si>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</si>
  <si>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</si>
  <si>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</si>
  <si>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</si>
  <si>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</si>
  <si>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</si>
  <si>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</si>
  <si>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</si>
  <si>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</si>
  <si>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</si>
  <si>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</si>
  <si>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</si>
  <si>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</si>
  <si>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</si>
  <si>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</si>
  <si>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</si>
  <si>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</si>
  <si>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</si>
  <si>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</si>
  <si>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</si>
  <si>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</si>
  <si>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</si>
  <si>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</si>
  <si>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</si>
  <si>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</si>
  <si>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</si>
  <si>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</si>
  <si>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</si>
  <si>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</si>
  <si>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</si>
  <si>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</si>
  <si>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</si>
  <si>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</si>
  <si>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</si>
  <si>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</si>
  <si>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</si>
  <si>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</si>
  <si>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</si>
  <si>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</si>
  <si>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</si>
  <si>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</si>
  <si>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</si>
  <si>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</si>
  <si>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</si>
  <si>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</si>
  <si>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</si>
  <si>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</si>
  <si>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</si>
  <si>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</si>
  <si>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</si>
  <si>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</si>
  <si>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</si>
  <si>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</si>
  <si>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</si>
  <si>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</si>
  <si>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</si>
  <si>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</si>
  <si>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</si>
  <si>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</si>
  <si>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rgb="FF000000"/>
        <rFont val="Arial Unicode MS"/>
      </rPr>
      <t>HYD-SAL-101</t>
    </r>
    <r>
      <rPr>
        <sz val="11"/>
        <color rgb="FF000000"/>
        <rFont val="Calibri"/>
        <family val="2"/>
      </rPr>
      <t xml:space="preserve"> → </t>
    </r>
    <r>
      <rPr>
        <sz val="10"/>
        <color rgb="FF000000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</si>
  <si>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</si>
  <si>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rgb="FF000000"/>
        <rFont val="Arial Unicode MS"/>
      </rPr>
      <t>HYD-SAL-101</t>
    </r>
    <r>
      <rPr>
        <sz val="11"/>
        <color rgb="FF000000"/>
        <rFont val="Calibri"/>
        <family val="2"/>
      </rPr>
      <t xml:space="preserve"> → </t>
    </r>
    <r>
      <rPr>
        <sz val="10"/>
        <color rgb="FF000000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</si>
  <si>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</si>
  <si>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rgb="FF000000"/>
        <rFont val="Arial Unicode MS"/>
      </rPr>
      <t>HYD-SAL-101</t>
    </r>
    <r>
      <rPr>
        <sz val="11"/>
        <color rgb="FF000000"/>
        <rFont val="Calibri"/>
        <family val="2"/>
      </rPr>
      <t xml:space="preserve"> → </t>
    </r>
    <r>
      <rPr>
        <sz val="10"/>
        <color rgb="FF000000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</si>
  <si>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</si>
  <si>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</si>
  <si>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</si>
  <si>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rgb="FF000000"/>
        <rFont val="Arial Unicode MS"/>
      </rPr>
      <t>rahul sharma</t>
    </r>
    <r>
      <rPr>
        <sz val="11"/>
        <color rgb="FF000000"/>
        <rFont val="Calibri"/>
        <family val="2"/>
      </rPr>
      <t xml:space="preserve"> → </t>
    </r>
    <r>
      <rPr>
        <sz val="10"/>
        <color rgb="FF000000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</si>
  <si>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</si>
  <si>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rgb="FF000000"/>
        <rFont val="Arial Unicode MS"/>
      </rPr>
      <t>@</t>
    </r>
    <r>
      <rPr>
        <sz val="11"/>
        <color rgb="FF000000"/>
        <rFont val="Calibri"/>
        <family val="2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</si>
  <si>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</si>
  <si>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rgb="FF000000"/>
        <rFont val="Arial Unicode MS"/>
      </rPr>
      <t>rahul.sharma@gmail.com</t>
    </r>
    <r>
      <rPr>
        <sz val="11"/>
        <color rgb="FF000000"/>
        <rFont val="Calibri"/>
        <family val="2"/>
      </rPr>
      <t xml:space="preserve"> → </t>
    </r>
    <r>
      <rPr>
        <sz val="10"/>
        <color rgb="FF000000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</si>
  <si>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</si>
  <si>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rgb="FF000000"/>
        <rFont val="Arial Unicode MS"/>
      </rPr>
      <t>rahul.sharma@gmail.com</t>
    </r>
    <r>
      <rPr>
        <sz val="11"/>
        <color rgb="FF000000"/>
        <rFont val="Calibri"/>
        <family val="2"/>
      </rPr>
      <t xml:space="preserve"> → </t>
    </r>
    <r>
      <rPr>
        <sz val="10"/>
        <color rgb="FF000000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</si>
  <si>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rgb="FF000000"/>
        <rFont val="Arial Unicode MS"/>
      </rPr>
      <t>Gmail</t>
    </r>
    <r>
      <rPr>
        <sz val="11"/>
        <color rgb="FF000000"/>
        <rFont val="Calibri"/>
        <family val="2"/>
      </rPr>
      <t xml:space="preserve"> or </t>
    </r>
    <r>
      <rPr>
        <sz val="10"/>
        <color rgb="FF000000"/>
        <rFont val="Arial Unicode MS"/>
      </rPr>
      <t>Other</t>
    </r>
    <r>
      <rPr>
        <sz val="11"/>
        <color rgb="FF000000"/>
        <rFont val="Calibri"/>
        <family val="2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</si>
  <si>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</si>
  <si>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</si>
  <si>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</si>
  <si>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</si>
  <si>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rgb="FF000000"/>
        <rFont val="Arial Unicode MS"/>
      </rPr>
      <t>gmail.com</t>
    </r>
    <r>
      <rPr>
        <sz val="11"/>
        <color rgb="FF000000"/>
        <rFont val="Calibri"/>
        <family val="2"/>
      </rPr>
      <t xml:space="preserve"> with </t>
    </r>
    <r>
      <rPr>
        <sz val="10"/>
        <color rgb="FF000000"/>
        <rFont val="Arial Unicode MS"/>
      </rPr>
      <t>company.com</t>
    </r>
    <r>
      <rPr>
        <sz val="11"/>
        <color rgb="FF000000"/>
        <rFont val="Calibri"/>
        <family val="2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</si>
  <si>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</si>
  <si>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</si>
  <si>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</si>
  <si>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</si>
  <si>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</si>
  <si>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</si>
  <si>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rgb="FF000000"/>
        <rFont val="Arial Unicode MS"/>
      </rPr>
      <t>15-Jan-2022</t>
    </r>
    <r>
      <rPr>
        <sz val="11"/>
        <color rgb="FF000000"/>
        <rFont val="Calibri"/>
        <family val="2"/>
      </rPr>
      <t xml:space="preserve"> → </t>
    </r>
    <r>
      <rPr>
        <sz val="10"/>
        <color rgb="FF000000"/>
        <rFont val="Arial Unicode MS"/>
      </rPr>
      <t>January</t>
    </r>
  </si>
  <si>
    <t>20. Display each employee's Joining Date in the format:</t>
  </si>
  <si>
    <t>21. Calculate the current age of each employee using their Date of Birth.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</si>
</sst>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u/>
      <sz val="11"/>
      <color rgb="FF0563C1"/>
      <name val="Calibri"/>
      <family val="2"/>
    </font>
    <font>
      <sz val="10"/>
      <color rgb="FF000000"/>
      <name val="Arial Unicode MS"/>
    </font>
    <font>
      <b/>
      <sz val="24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9" fontId="3" fillId="0" borderId="0" xfId="0" applyNumberFormat="1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1" fillId="0" borderId="0" xfId="1" applyFill="1" applyBorder="1" applyAlignment="1">
      <alignment wrapText="1"/>
    </xf>
    <xf numFmtId="15" fontId="3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16" fontId="7" fillId="0" borderId="0" xfId="0" applyNumberFormat="1" applyFont="1" applyFill="1" applyBorder="1" applyAlignment="1"/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A17" workbookViewId="0">
      <selection activeCell="I21" sqref="I21"/>
    </sheetView>
  </sheetViews>
  <sheetFormatPr defaultRowHeight="15"/>
  <cols>
    <col min="1" max="1" width="19.5703125" customWidth="1"/>
    <col min="2" max="2" width="25.5703125" customWidth="1"/>
    <col min="3" max="3" width="26.7109375" customWidth="1"/>
    <col min="4" max="4" width="17.85546875" customWidth="1"/>
    <col min="5" max="5" width="20.5703125" customWidth="1"/>
    <col min="6" max="6" width="15.85546875" customWidth="1"/>
    <col min="9" max="9" width="30.5703125" customWidth="1"/>
    <col min="10" max="10" width="36.42578125" customWidth="1"/>
  </cols>
  <sheetData>
    <row r="1" spans="1:11" ht="30.75">
      <c r="A1" s="1" t="s">
        <v>0</v>
      </c>
      <c r="B1" s="1" t="s">
        <v>1</v>
      </c>
      <c r="C1" s="2"/>
      <c r="D1" s="2"/>
      <c r="E1" s="1" t="s">
        <v>2</v>
      </c>
      <c r="F1" s="1" t="s">
        <v>3</v>
      </c>
      <c r="G1" s="2"/>
      <c r="H1" s="2"/>
      <c r="I1" s="1" t="s">
        <v>4</v>
      </c>
    </row>
    <row r="2" spans="1:11" ht="30.75">
      <c r="A2" s="3" t="s">
        <v>5</v>
      </c>
      <c r="B2" s="3" t="s">
        <v>6</v>
      </c>
      <c r="C2" s="2"/>
      <c r="D2" s="2"/>
      <c r="E2" s="3">
        <v>0</v>
      </c>
      <c r="F2" s="4">
        <v>0.02</v>
      </c>
      <c r="G2" s="2"/>
      <c r="H2" s="2"/>
      <c r="I2" s="3" t="s">
        <v>7</v>
      </c>
      <c r="J2" t="str">
        <f>_xlfn.XLOOKUP($A$4,$A$2:$A$5,$B$2:$B$5,2)</f>
        <v>IT</v>
      </c>
      <c r="K2" t="str" cm="1">
        <f t="array" aca="1" ref="K2" ca="1">_xlfn.XLOOKUP("Rahul",A2:A5,B2:B5,Not_found,2,-1)</f>
        <v>Finance</v>
      </c>
    </row>
    <row r="3" spans="1:11" ht="30.75">
      <c r="A3" s="3" t="s">
        <v>8</v>
      </c>
      <c r="B3" s="3" t="s">
        <v>9</v>
      </c>
      <c r="C3" s="2"/>
      <c r="D3" s="2"/>
      <c r="E3" s="3">
        <v>10000</v>
      </c>
      <c r="F3" s="4">
        <v>0.05</v>
      </c>
      <c r="G3" s="2"/>
      <c r="H3" s="2"/>
      <c r="I3" s="3" t="s">
        <v>10</v>
      </c>
      <c r="J3" t="str">
        <f>_xlfn.XLOOKUP($A$4,$A$2:$A$5,$B$2:$B$5,2)</f>
        <v>IT</v>
      </c>
      <c r="K3" t="str" cm="1">
        <f t="array" aca="1" ref="K3" ca="1">_xlfn.XLOOKUP("Rahul",A3:A6,B3:B6,Not_found,2,-1)</f>
        <v>Finance</v>
      </c>
    </row>
    <row r="4" spans="1:11" ht="30.75">
      <c r="A4" s="3" t="s">
        <v>5</v>
      </c>
      <c r="B4" s="3" t="s">
        <v>11</v>
      </c>
      <c r="C4" s="2"/>
      <c r="D4" s="2"/>
      <c r="E4" s="3">
        <v>25000</v>
      </c>
      <c r="F4" s="4">
        <v>0.08</v>
      </c>
      <c r="G4" s="2"/>
      <c r="H4" s="2"/>
      <c r="I4" s="3" t="s">
        <v>12</v>
      </c>
      <c r="J4" t="str">
        <f>_xlfn.XLOOKUP("Priya",$A$2:$A$5,$B$2:$B$5,2)</f>
        <v>HR</v>
      </c>
    </row>
    <row r="5" spans="1:11" ht="30.75">
      <c r="A5" s="3" t="s">
        <v>13</v>
      </c>
      <c r="B5" s="3" t="s">
        <v>14</v>
      </c>
      <c r="C5" s="2"/>
      <c r="D5" s="2"/>
      <c r="E5" s="3">
        <v>50000</v>
      </c>
      <c r="F5" s="4">
        <v>0.1</v>
      </c>
      <c r="G5" s="2"/>
      <c r="H5" s="2"/>
      <c r="I5" s="3" t="s">
        <v>15</v>
      </c>
      <c r="J5" t="str">
        <f>_xlfn.XLOOKUP("Priya",$A$2:$A$5,$B$2:$B$5,2)</f>
        <v>HR</v>
      </c>
    </row>
    <row r="6" spans="1:11">
      <c r="A6" s="2"/>
      <c r="B6" s="2"/>
      <c r="C6" s="2"/>
      <c r="D6" s="2"/>
      <c r="E6" s="3">
        <v>100000</v>
      </c>
      <c r="F6" s="4">
        <v>0.15</v>
      </c>
      <c r="G6" s="2"/>
      <c r="H6" s="2"/>
      <c r="I6" s="2"/>
    </row>
    <row r="7" spans="1:11" ht="76.5">
      <c r="A7" s="2"/>
      <c r="B7" s="2"/>
      <c r="C7" s="2"/>
      <c r="D7" s="2"/>
      <c r="E7" s="2"/>
      <c r="F7" s="2"/>
      <c r="G7" s="2"/>
      <c r="H7" s="2"/>
      <c r="I7" s="3" t="s">
        <v>16</v>
      </c>
      <c r="J7" t="str" cm="1">
        <f t="array" aca="1" ref="J7" ca="1">_xlfn.XLOOKUP("R*",A2:A5,A2:A5,Not_found,2)</f>
        <v>Rahul</v>
      </c>
    </row>
    <row r="8" spans="1:11">
      <c r="A8" s="2"/>
      <c r="B8" s="2"/>
      <c r="C8" s="2"/>
      <c r="D8" s="2"/>
      <c r="E8" s="2"/>
      <c r="F8" s="2"/>
      <c r="G8" s="2"/>
      <c r="H8" s="2"/>
      <c r="I8" s="2"/>
    </row>
    <row r="9" spans="1:11">
      <c r="A9" s="2"/>
      <c r="B9" s="2"/>
      <c r="C9" s="2"/>
      <c r="D9" s="2"/>
      <c r="E9" s="2"/>
      <c r="F9" s="2"/>
      <c r="G9" s="2"/>
      <c r="H9" s="2"/>
      <c r="I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</row>
    <row r="13" spans="1:11" ht="57">
      <c r="A13" s="5" t="s">
        <v>17</v>
      </c>
      <c r="B13" s="5" t="s">
        <v>4</v>
      </c>
      <c r="C13" s="5" t="s">
        <v>1</v>
      </c>
      <c r="D13" s="5" t="s">
        <v>18</v>
      </c>
      <c r="E13" s="5" t="s">
        <v>19</v>
      </c>
      <c r="F13" s="2"/>
      <c r="G13" s="2"/>
      <c r="H13" s="2"/>
      <c r="I13" s="2"/>
    </row>
    <row r="14" spans="1:11" ht="37.5">
      <c r="A14" s="6" t="s">
        <v>20</v>
      </c>
      <c r="B14" s="6" t="s">
        <v>8</v>
      </c>
      <c r="C14" s="6" t="s">
        <v>9</v>
      </c>
      <c r="D14" s="6" t="s">
        <v>21</v>
      </c>
      <c r="E14" s="6">
        <v>40000</v>
      </c>
      <c r="F14" s="2"/>
      <c r="G14" s="2"/>
      <c r="H14" s="2"/>
      <c r="I14" s="2"/>
    </row>
    <row r="15" spans="1:11" ht="37.5">
      <c r="A15" s="6" t="s">
        <v>22</v>
      </c>
      <c r="B15" s="6" t="s">
        <v>5</v>
      </c>
      <c r="C15" s="6" t="s">
        <v>6</v>
      </c>
      <c r="D15" s="6" t="s">
        <v>23</v>
      </c>
      <c r="E15" s="6">
        <v>55000</v>
      </c>
      <c r="F15" s="2"/>
      <c r="G15" s="2"/>
      <c r="H15" s="2"/>
      <c r="I15" s="2"/>
    </row>
    <row r="16" spans="1:11" ht="37.5">
      <c r="A16" s="6" t="s">
        <v>24</v>
      </c>
      <c r="B16" s="6" t="s">
        <v>25</v>
      </c>
      <c r="C16" s="6" t="s">
        <v>11</v>
      </c>
      <c r="D16" s="6" t="s">
        <v>26</v>
      </c>
      <c r="E16" s="6">
        <v>48000</v>
      </c>
      <c r="F16" s="2"/>
      <c r="G16" s="2"/>
      <c r="H16" s="2"/>
      <c r="I16" s="2"/>
    </row>
    <row r="17" spans="1:9" ht="37.5">
      <c r="A17" s="6" t="s">
        <v>27</v>
      </c>
      <c r="B17" s="6" t="s">
        <v>13</v>
      </c>
      <c r="C17" s="6" t="s">
        <v>14</v>
      </c>
      <c r="D17" s="6" t="s">
        <v>21</v>
      </c>
      <c r="E17" s="6">
        <v>42000</v>
      </c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 ht="57">
      <c r="A21" s="2"/>
      <c r="B21" s="2"/>
      <c r="C21" s="5" t="s">
        <v>17</v>
      </c>
      <c r="D21" s="5" t="s">
        <v>4</v>
      </c>
      <c r="E21" s="5" t="s">
        <v>1</v>
      </c>
      <c r="F21" s="5" t="s">
        <v>18</v>
      </c>
      <c r="G21" s="5" t="s">
        <v>19</v>
      </c>
      <c r="H21" s="2"/>
      <c r="I21" s="2"/>
    </row>
    <row r="22" spans="1:9">
      <c r="C22" t="str">
        <f>_xlfn.XLOOKUP(A14,A14:A17,A14:A17,,0)</f>
        <v>E101</v>
      </c>
      <c r="D22" t="str" cm="1">
        <f t="array" ref="D22:D25">_xlfn.XLOOKUP(C22:C25,A14:A17,B14:E17,,0)</f>
        <v>Priya</v>
      </c>
      <c r="E22" t="str" cm="1">
        <f t="array" ref="E22:E25">_xlfn.XLOOKUP(D22:D25,B14:B17,C14:F17,,0)</f>
        <v>HR</v>
      </c>
      <c r="F22" t="str" cm="1">
        <f t="array" ref="F22:F25">_xlfn.XLOOKUP(E22:E25,C14:C17,D14:G17,,0)</f>
        <v>Hyderabad</v>
      </c>
      <c r="G22" cm="1">
        <f t="array" ref="G22:G25">_xlfn.XLOOKUP(F22:F25,D14:D17,E14:H17,,0)</f>
        <v>40000</v>
      </c>
    </row>
    <row r="23" spans="1:9">
      <c r="C23" t="str">
        <f t="shared" ref="C23:C25" si="0">_xlfn.XLOOKUP(A15,A15:A18,A15:A18,,0)</f>
        <v>E102</v>
      </c>
      <c r="D23" t="str">
        <v>Rahul</v>
      </c>
      <c r="E23" t="str">
        <v>IT</v>
      </c>
      <c r="F23" t="str">
        <v>Bangalore</v>
      </c>
      <c r="G23">
        <v>55000</v>
      </c>
    </row>
    <row r="24" spans="1:9">
      <c r="C24" t="str">
        <f t="shared" si="0"/>
        <v>E103</v>
      </c>
      <c r="D24" t="str">
        <v>Anil</v>
      </c>
      <c r="E24" t="str">
        <v>Finance</v>
      </c>
      <c r="F24" t="str">
        <v>Chennai</v>
      </c>
      <c r="G24">
        <v>48000</v>
      </c>
    </row>
    <row r="25" spans="1:9">
      <c r="C25" t="str">
        <f t="shared" si="0"/>
        <v>E104</v>
      </c>
      <c r="D25" t="str">
        <v>Sneha</v>
      </c>
      <c r="E25" t="str">
        <v>Sales</v>
      </c>
      <c r="F25" t="str">
        <v>Hyderabad</v>
      </c>
      <c r="G25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2E09-4A31-480C-A081-2473B48113D0}">
  <dimension ref="A1:AD62"/>
  <sheetViews>
    <sheetView tabSelected="1" topLeftCell="Z17" workbookViewId="0">
      <selection activeCell="AD2" sqref="AD2:AD19"/>
    </sheetView>
  </sheetViews>
  <sheetFormatPr defaultRowHeight="15"/>
  <cols>
    <col min="2" max="2" width="109.28515625" customWidth="1"/>
    <col min="3" max="3" width="30.7109375" customWidth="1"/>
    <col min="4" max="4" width="16.28515625" customWidth="1"/>
    <col min="5" max="5" width="16.5703125" customWidth="1"/>
    <col min="6" max="6" width="16" customWidth="1"/>
    <col min="7" max="7" width="17.7109375" customWidth="1"/>
    <col min="8" max="8" width="15.7109375" customWidth="1"/>
    <col min="14" max="14" width="16.140625" customWidth="1"/>
    <col min="15" max="15" width="16.28515625" customWidth="1"/>
    <col min="16" max="16" width="13" customWidth="1"/>
    <col min="18" max="18" width="14.42578125" customWidth="1"/>
    <col min="19" max="19" width="16" customWidth="1"/>
    <col min="20" max="20" width="27.42578125" customWidth="1"/>
    <col min="21" max="21" width="18.28515625" customWidth="1"/>
    <col min="22" max="22" width="33.28515625" customWidth="1"/>
    <col min="23" max="23" width="27.28515625" customWidth="1"/>
    <col min="26" max="26" width="15.42578125" customWidth="1"/>
    <col min="28" max="28" width="12.140625" customWidth="1"/>
    <col min="29" max="29" width="9.42578125" customWidth="1"/>
  </cols>
  <sheetData>
    <row r="1" spans="1:30">
      <c r="A1" s="1" t="s">
        <v>28</v>
      </c>
      <c r="B1" s="1" t="s">
        <v>29</v>
      </c>
      <c r="C1" s="1" t="s">
        <v>30</v>
      </c>
      <c r="D1" s="1" t="s">
        <v>1</v>
      </c>
      <c r="E1" s="1" t="s">
        <v>18</v>
      </c>
      <c r="F1" s="1" t="s">
        <v>31</v>
      </c>
      <c r="G1" s="1" t="s">
        <v>32</v>
      </c>
      <c r="H1" s="1" t="s">
        <v>33</v>
      </c>
      <c r="I1" s="1" t="s">
        <v>19</v>
      </c>
      <c r="J1" s="13" t="s">
        <v>34</v>
      </c>
      <c r="K1" s="13" t="s">
        <v>35</v>
      </c>
      <c r="L1" s="13" t="s">
        <v>36</v>
      </c>
      <c r="M1" s="13" t="s">
        <v>37</v>
      </c>
      <c r="N1" s="13" t="s">
        <v>38</v>
      </c>
      <c r="O1" s="13" t="s">
        <v>39</v>
      </c>
      <c r="P1" s="13" t="s">
        <v>40</v>
      </c>
      <c r="Q1" s="13" t="s">
        <v>41</v>
      </c>
      <c r="R1" s="13" t="s">
        <v>42</v>
      </c>
      <c r="S1" s="13" t="s">
        <v>43</v>
      </c>
      <c r="T1" s="13" t="s">
        <v>44</v>
      </c>
      <c r="U1" s="14" t="s">
        <v>45</v>
      </c>
      <c r="V1" s="13" t="s">
        <v>46</v>
      </c>
      <c r="W1" s="13" t="s">
        <v>47</v>
      </c>
      <c r="X1" s="13" t="s">
        <v>48</v>
      </c>
      <c r="Y1" s="13" t="s">
        <v>49</v>
      </c>
      <c r="Z1" s="14" t="s">
        <v>50</v>
      </c>
      <c r="AA1" s="13" t="s">
        <v>51</v>
      </c>
      <c r="AB1" s="13" t="s">
        <v>52</v>
      </c>
      <c r="AC1" s="13" t="s">
        <v>53</v>
      </c>
      <c r="AD1" s="13" t="s">
        <v>54</v>
      </c>
    </row>
    <row r="2" spans="1:30" ht="45.75">
      <c r="A2" s="3" t="s">
        <v>20</v>
      </c>
      <c r="B2" s="3" t="s">
        <v>55</v>
      </c>
      <c r="C2" s="7" t="s">
        <v>56</v>
      </c>
      <c r="D2" s="3" t="s">
        <v>14</v>
      </c>
      <c r="E2" s="3" t="s">
        <v>21</v>
      </c>
      <c r="F2" s="8">
        <v>44576</v>
      </c>
      <c r="G2" s="8">
        <v>34862</v>
      </c>
      <c r="H2" s="3" t="s">
        <v>57</v>
      </c>
      <c r="I2" s="3">
        <v>45000</v>
      </c>
      <c r="J2" t="str">
        <f>LEFT(H2,3)</f>
        <v>HYD</v>
      </c>
      <c r="K2" t="str">
        <f>RIGHT(H2,3)</f>
        <v>101</v>
      </c>
      <c r="L2" t="str">
        <f>MID(H2,5,3)</f>
        <v>SAL</v>
      </c>
      <c r="M2">
        <f>LEN(B2)</f>
        <v>12</v>
      </c>
      <c r="N2" t="str">
        <f>TRIM(B2)</f>
        <v>rahul sharma</v>
      </c>
      <c r="O2" t="str">
        <f>PROPER(B2)</f>
        <v>Rahul Sharma</v>
      </c>
      <c r="P2" t="str">
        <f>TRIM(PROPER(B2))</f>
        <v>Rahul Sharma</v>
      </c>
      <c r="Q2">
        <f>FIND("@",C2)</f>
        <v>13</v>
      </c>
      <c r="R2" t="str">
        <f>LEFT(C2,FIND("@",C2)-1)</f>
        <v>rahul.sharma</v>
      </c>
      <c r="S2" t="str">
        <f>RIGHT(C2,FIND("@",C2,1)-4)</f>
        <v>gmail.com</v>
      </c>
      <c r="T2" t="str">
        <f>IF(ISNUMBER(SEARCH("gmail.com",C2)),"Gmail","Other")</f>
        <v>Gmail</v>
      </c>
      <c r="U2" t="str">
        <f>_xlfn.CONCAT(A2,"-",PROPER(B2))</f>
        <v>E101-Rahul Sharma</v>
      </c>
      <c r="V2" t="str">
        <f>_xlfn.CONCAT(PROPER(B2)," | ",D2," | ",E2)</f>
        <v>Rahul Sharma | Sales | Hyderabad</v>
      </c>
      <c r="W2" t="str">
        <f>SUBSTITUTE(C2,"gmail.com","company.com")</f>
        <v>rahul.sharma@company.com</v>
      </c>
      <c r="X2">
        <f>DAY(F2)</f>
        <v>15</v>
      </c>
      <c r="Y2">
        <f>MONTH(F2)</f>
        <v>1</v>
      </c>
      <c r="Z2">
        <f>YEAR(F2)</f>
        <v>2022</v>
      </c>
      <c r="AA2">
        <f>YEAR(F2)</f>
        <v>2022</v>
      </c>
      <c r="AB2" t="str">
        <f>TEXT(F2,"mmmm")</f>
        <v>January</v>
      </c>
      <c r="AC2" t="str">
        <f>TEXT(F2,"dd-mmm")</f>
        <v>15-Jan</v>
      </c>
      <c r="AD2">
        <f ca="1">DATEDIF(G2,TODAY(),"Y")</f>
        <v>31</v>
      </c>
    </row>
    <row r="3" spans="1:30" ht="45.75">
      <c r="A3" s="3" t="s">
        <v>22</v>
      </c>
      <c r="B3" s="3" t="s">
        <v>58</v>
      </c>
      <c r="C3" s="7" t="s">
        <v>59</v>
      </c>
      <c r="D3" s="3" t="s">
        <v>11</v>
      </c>
      <c r="E3" s="3" t="s">
        <v>21</v>
      </c>
      <c r="F3" s="8">
        <v>44277</v>
      </c>
      <c r="G3" s="8">
        <v>33821</v>
      </c>
      <c r="H3" s="3" t="s">
        <v>60</v>
      </c>
      <c r="I3" s="3">
        <v>52000</v>
      </c>
      <c r="J3" t="str">
        <f t="shared" ref="J3:J19" si="0">LEFT(H3,3)</f>
        <v>HYD</v>
      </c>
      <c r="K3" t="str">
        <f t="shared" ref="K3:K19" si="1">RIGHT(H3,3)</f>
        <v>102</v>
      </c>
      <c r="L3" t="str">
        <f t="shared" ref="L3:L19" si="2">MID(H3,5,3)</f>
        <v>FIN</v>
      </c>
      <c r="M3">
        <f t="shared" ref="M3:M19" si="3">LEN(B3)</f>
        <v>11</v>
      </c>
      <c r="N3" t="str">
        <f t="shared" ref="N3:N19" si="4">TRIM(B3)</f>
        <v>PRIYA REDDY</v>
      </c>
      <c r="O3" t="str">
        <f t="shared" ref="O3:O19" si="5">PROPER(B3)</f>
        <v>Priya Reddy</v>
      </c>
      <c r="P3" t="str">
        <f t="shared" ref="P3:P19" si="6">TRIM(PROPER(B3))</f>
        <v>Priya Reddy</v>
      </c>
      <c r="Q3">
        <f t="shared" ref="Q3:Q19" si="7">FIND("@",C3)</f>
        <v>12</v>
      </c>
      <c r="R3" t="str">
        <f t="shared" ref="R3:R19" si="8">LEFT(C3,FIND("@",C3)-1)</f>
        <v>priya.reddy</v>
      </c>
      <c r="S3" t="str">
        <f>RIGHT(C3,FIND("@",C3,2)-3)</f>
        <v>gmail.com</v>
      </c>
      <c r="T3" t="str">
        <f t="shared" ref="T3:T19" si="9">IF(ISNUMBER(SEARCH("gmail.com",C3)),"Gmail","Other")</f>
        <v>Gmail</v>
      </c>
      <c r="U3" t="str">
        <f t="shared" ref="U3:U19" si="10">_xlfn.CONCAT(A3,"-",PROPER(B3))</f>
        <v>E102-Priya Reddy</v>
      </c>
      <c r="V3" t="str">
        <f t="shared" ref="V3:V19" si="11">_xlfn.CONCAT(PROPER(B3)," | ",D3," | ",E3)</f>
        <v>Priya Reddy | Finance | Hyderabad</v>
      </c>
      <c r="W3" t="str">
        <f t="shared" ref="W3:W19" si="12">SUBSTITUTE(C3,"gmail.com","company.com")</f>
        <v>priya.reddy@company.com</v>
      </c>
      <c r="X3">
        <f t="shared" ref="X3:X19" si="13">DAY(F3)</f>
        <v>22</v>
      </c>
      <c r="Y3">
        <f t="shared" ref="Y3:Y19" si="14">MONTH(F3)</f>
        <v>3</v>
      </c>
      <c r="Z3">
        <f t="shared" ref="Z3:Z19" si="15">YEAR(F3)</f>
        <v>2021</v>
      </c>
      <c r="AA3">
        <f t="shared" ref="AA3:AA19" si="16">YEAR(F3)</f>
        <v>2021</v>
      </c>
      <c r="AB3" t="str">
        <f t="shared" ref="AB3:AB19" si="17">TEXT(F3,"mmmm")</f>
        <v>March</v>
      </c>
      <c r="AC3" t="str">
        <f t="shared" ref="AC3:AC19" si="18">TEXT(F3,"dd-mmm")</f>
        <v>22-Mar</v>
      </c>
      <c r="AD3">
        <f t="shared" ref="AD3:AD19" ca="1" si="19">DATEDIF(G3,TODAY(),"Y")</f>
        <v>34</v>
      </c>
    </row>
    <row r="4" spans="1:30" ht="45.75">
      <c r="A4" s="3" t="s">
        <v>24</v>
      </c>
      <c r="B4" s="3" t="s">
        <v>61</v>
      </c>
      <c r="C4" s="7" t="s">
        <v>62</v>
      </c>
      <c r="D4" s="3" t="s">
        <v>6</v>
      </c>
      <c r="E4" s="3" t="s">
        <v>23</v>
      </c>
      <c r="F4" s="8">
        <v>45117</v>
      </c>
      <c r="G4" s="8">
        <v>35844</v>
      </c>
      <c r="H4" s="3" t="s">
        <v>63</v>
      </c>
      <c r="I4" s="3">
        <v>48000</v>
      </c>
      <c r="J4" t="str">
        <f t="shared" si="0"/>
        <v>BLR</v>
      </c>
      <c r="K4" t="str">
        <f t="shared" si="1"/>
        <v>103</v>
      </c>
      <c r="L4" t="str">
        <f t="shared" si="2"/>
        <v>IT-</v>
      </c>
      <c r="M4">
        <f t="shared" si="3"/>
        <v>10</v>
      </c>
      <c r="N4" t="str">
        <f t="shared" si="4"/>
        <v>anil kumar</v>
      </c>
      <c r="O4" t="str">
        <f t="shared" si="5"/>
        <v>Anil Kumar</v>
      </c>
      <c r="P4" t="str">
        <f t="shared" si="6"/>
        <v>Anil Kumar</v>
      </c>
      <c r="Q4">
        <f t="shared" si="7"/>
        <v>11</v>
      </c>
      <c r="R4" t="str">
        <f t="shared" si="8"/>
        <v>anil.kumar</v>
      </c>
      <c r="S4" t="str">
        <f>RIGHT(C4,FIND("@",C4,2)-2)</f>
        <v>gmail.com</v>
      </c>
      <c r="T4" t="str">
        <f t="shared" si="9"/>
        <v>Gmail</v>
      </c>
      <c r="U4" t="str">
        <f t="shared" si="10"/>
        <v>E103-Anil Kumar</v>
      </c>
      <c r="V4" t="str">
        <f t="shared" si="11"/>
        <v>Anil Kumar | IT | Bangalore</v>
      </c>
      <c r="W4" t="str">
        <f t="shared" si="12"/>
        <v>anil.kumar@company.com</v>
      </c>
      <c r="X4">
        <f t="shared" si="13"/>
        <v>10</v>
      </c>
      <c r="Y4">
        <f t="shared" si="14"/>
        <v>7</v>
      </c>
      <c r="Z4">
        <f t="shared" si="15"/>
        <v>2023</v>
      </c>
      <c r="AA4">
        <f t="shared" si="16"/>
        <v>2023</v>
      </c>
      <c r="AB4" t="str">
        <f t="shared" si="17"/>
        <v>July</v>
      </c>
      <c r="AC4" t="str">
        <f t="shared" si="18"/>
        <v>10-Jul</v>
      </c>
      <c r="AD4">
        <f t="shared" ca="1" si="19"/>
        <v>28</v>
      </c>
    </row>
    <row r="5" spans="1:30" ht="45.75">
      <c r="A5" s="3" t="s">
        <v>27</v>
      </c>
      <c r="B5" s="3" t="s">
        <v>64</v>
      </c>
      <c r="C5" s="7" t="s">
        <v>65</v>
      </c>
      <c r="D5" s="3" t="s">
        <v>9</v>
      </c>
      <c r="E5" s="3" t="s">
        <v>26</v>
      </c>
      <c r="F5" s="8">
        <v>43866</v>
      </c>
      <c r="G5" s="8">
        <v>33202</v>
      </c>
      <c r="H5" s="3" t="s">
        <v>66</v>
      </c>
      <c r="I5" s="3">
        <v>50000</v>
      </c>
      <c r="J5" t="str">
        <f t="shared" si="0"/>
        <v>CHE</v>
      </c>
      <c r="K5" t="str">
        <f t="shared" si="1"/>
        <v>104</v>
      </c>
      <c r="L5" t="str">
        <f t="shared" si="2"/>
        <v>HR-</v>
      </c>
      <c r="M5">
        <f t="shared" si="3"/>
        <v>9</v>
      </c>
      <c r="N5" t="str">
        <f t="shared" si="4"/>
        <v>Sneha Rao</v>
      </c>
      <c r="O5" t="str">
        <f t="shared" si="5"/>
        <v>Sneha Rao</v>
      </c>
      <c r="P5" t="str">
        <f t="shared" si="6"/>
        <v>Sneha Rao</v>
      </c>
      <c r="Q5">
        <f t="shared" si="7"/>
        <v>10</v>
      </c>
      <c r="R5" t="str">
        <f t="shared" si="8"/>
        <v>sneha.rao</v>
      </c>
      <c r="S5" t="str">
        <f>RIGHT(C5,FIND("@",C5,2)-1)</f>
        <v>yahoo.com</v>
      </c>
      <c r="T5" t="str">
        <f t="shared" si="9"/>
        <v>Other</v>
      </c>
      <c r="U5" t="str">
        <f t="shared" si="10"/>
        <v>E104-Sneha Rao</v>
      </c>
      <c r="V5" t="str">
        <f t="shared" si="11"/>
        <v>Sneha Rao | HR | Chennai</v>
      </c>
      <c r="W5" t="str">
        <f t="shared" si="12"/>
        <v>sneha.rao@yahoo.com</v>
      </c>
      <c r="X5">
        <f t="shared" si="13"/>
        <v>5</v>
      </c>
      <c r="Y5">
        <f t="shared" si="14"/>
        <v>2</v>
      </c>
      <c r="Z5">
        <f t="shared" si="15"/>
        <v>2020</v>
      </c>
      <c r="AA5">
        <f t="shared" si="16"/>
        <v>2020</v>
      </c>
      <c r="AB5" t="str">
        <f t="shared" si="17"/>
        <v>February</v>
      </c>
      <c r="AC5" t="str">
        <f t="shared" si="18"/>
        <v>05-Feb</v>
      </c>
      <c r="AD5">
        <f t="shared" ca="1" si="19"/>
        <v>35</v>
      </c>
    </row>
    <row r="6" spans="1:30" ht="45.75">
      <c r="A6" s="3" t="s">
        <v>67</v>
      </c>
      <c r="B6" s="3" t="s">
        <v>68</v>
      </c>
      <c r="C6" s="7" t="s">
        <v>69</v>
      </c>
      <c r="D6" s="3" t="s">
        <v>6</v>
      </c>
      <c r="E6" s="3" t="s">
        <v>21</v>
      </c>
      <c r="F6" s="8">
        <v>44822</v>
      </c>
      <c r="G6" s="8">
        <v>35154</v>
      </c>
      <c r="H6" s="3" t="s">
        <v>70</v>
      </c>
      <c r="I6" s="3">
        <v>60000</v>
      </c>
      <c r="J6" t="str">
        <f t="shared" si="0"/>
        <v>HYD</v>
      </c>
      <c r="K6" t="str">
        <f t="shared" si="1"/>
        <v>105</v>
      </c>
      <c r="L6" t="str">
        <f t="shared" si="2"/>
        <v>IT-</v>
      </c>
      <c r="M6">
        <f t="shared" si="3"/>
        <v>11</v>
      </c>
      <c r="N6" t="str">
        <f t="shared" si="4"/>
        <v>arjun verma</v>
      </c>
      <c r="O6" t="str">
        <f t="shared" si="5"/>
        <v>Arjun Verma</v>
      </c>
      <c r="P6" t="str">
        <f t="shared" si="6"/>
        <v>Arjun Verma</v>
      </c>
      <c r="Q6">
        <f t="shared" si="7"/>
        <v>12</v>
      </c>
      <c r="R6" t="str">
        <f t="shared" si="8"/>
        <v>arjun.verma</v>
      </c>
      <c r="S6" t="str">
        <f>RIGHT(C6,LEN(C6)-FIND("@",C6,1))</f>
        <v>gmail.com</v>
      </c>
      <c r="T6" t="str">
        <f t="shared" si="9"/>
        <v>Gmail</v>
      </c>
      <c r="U6" t="str">
        <f t="shared" si="10"/>
        <v>E105-Arjun Verma</v>
      </c>
      <c r="V6" t="str">
        <f t="shared" si="11"/>
        <v>Arjun Verma | IT | Hyderabad</v>
      </c>
      <c r="W6" t="str">
        <f t="shared" si="12"/>
        <v>arjun.verma@company.com</v>
      </c>
      <c r="X6">
        <f t="shared" si="13"/>
        <v>18</v>
      </c>
      <c r="Y6">
        <f t="shared" si="14"/>
        <v>9</v>
      </c>
      <c r="Z6">
        <f t="shared" si="15"/>
        <v>2022</v>
      </c>
      <c r="AA6">
        <f t="shared" si="16"/>
        <v>2022</v>
      </c>
      <c r="AB6" t="str">
        <f t="shared" si="17"/>
        <v>September</v>
      </c>
      <c r="AC6" t="str">
        <f t="shared" si="18"/>
        <v>18-Sep</v>
      </c>
      <c r="AD6">
        <f t="shared" ca="1" si="19"/>
        <v>30</v>
      </c>
    </row>
    <row r="7" spans="1:30" ht="45.75">
      <c r="A7" s="3" t="s">
        <v>71</v>
      </c>
      <c r="B7" s="3" t="s">
        <v>72</v>
      </c>
      <c r="C7" s="7" t="s">
        <v>73</v>
      </c>
      <c r="D7" s="3" t="s">
        <v>14</v>
      </c>
      <c r="E7" s="3" t="s">
        <v>74</v>
      </c>
      <c r="F7" s="8">
        <v>45393</v>
      </c>
      <c r="G7" s="8">
        <v>36539</v>
      </c>
      <c r="H7" s="3" t="s">
        <v>75</v>
      </c>
      <c r="I7" s="3">
        <v>38000</v>
      </c>
      <c r="J7" t="str">
        <f t="shared" si="0"/>
        <v>MUM</v>
      </c>
      <c r="K7" t="str">
        <f t="shared" si="1"/>
        <v>106</v>
      </c>
      <c r="L7" t="str">
        <f t="shared" si="2"/>
        <v>SAL</v>
      </c>
      <c r="M7">
        <f t="shared" si="3"/>
        <v>10</v>
      </c>
      <c r="N7" t="str">
        <f t="shared" si="4"/>
        <v>MEENA DEVI</v>
      </c>
      <c r="O7" t="str">
        <f t="shared" si="5"/>
        <v>Meena Devi</v>
      </c>
      <c r="P7" t="str">
        <f t="shared" si="6"/>
        <v>Meena Devi</v>
      </c>
      <c r="Q7">
        <f t="shared" si="7"/>
        <v>11</v>
      </c>
      <c r="R7" t="str">
        <f t="shared" si="8"/>
        <v>meena.devi</v>
      </c>
      <c r="S7" t="str">
        <f t="shared" ref="S7:S19" si="20">RIGHT(C7,LEN(C7)-FIND("@",C7,1))</f>
        <v>gmail.com</v>
      </c>
      <c r="T7" t="str">
        <f t="shared" si="9"/>
        <v>Gmail</v>
      </c>
      <c r="U7" t="str">
        <f t="shared" si="10"/>
        <v>E106-Meena Devi</v>
      </c>
      <c r="V7" t="str">
        <f t="shared" si="11"/>
        <v>Meena Devi | Sales | Mumbai</v>
      </c>
      <c r="W7" t="str">
        <f t="shared" si="12"/>
        <v>meena.devi@company.com</v>
      </c>
      <c r="X7">
        <f t="shared" si="13"/>
        <v>11</v>
      </c>
      <c r="Y7">
        <f t="shared" si="14"/>
        <v>4</v>
      </c>
      <c r="Z7">
        <f t="shared" si="15"/>
        <v>2024</v>
      </c>
      <c r="AA7">
        <f t="shared" si="16"/>
        <v>2024</v>
      </c>
      <c r="AB7" t="str">
        <f t="shared" si="17"/>
        <v>April</v>
      </c>
      <c r="AC7" t="str">
        <f t="shared" si="18"/>
        <v>11-Apr</v>
      </c>
      <c r="AD7">
        <f t="shared" ca="1" si="19"/>
        <v>26</v>
      </c>
    </row>
    <row r="8" spans="1:30" ht="45.75">
      <c r="A8" s="3" t="s">
        <v>76</v>
      </c>
      <c r="B8" s="3" t="s">
        <v>77</v>
      </c>
      <c r="C8" s="7" t="s">
        <v>78</v>
      </c>
      <c r="D8" s="3" t="s">
        <v>11</v>
      </c>
      <c r="E8" s="3" t="s">
        <v>23</v>
      </c>
      <c r="F8" s="8">
        <v>44527</v>
      </c>
      <c r="G8" s="8">
        <v>34171</v>
      </c>
      <c r="H8" s="3" t="s">
        <v>79</v>
      </c>
      <c r="I8" s="3">
        <v>57000</v>
      </c>
      <c r="J8" t="str">
        <f t="shared" si="0"/>
        <v>BLR</v>
      </c>
      <c r="K8" t="str">
        <f t="shared" si="1"/>
        <v>107</v>
      </c>
      <c r="L8" t="str">
        <f t="shared" si="2"/>
        <v>FIN</v>
      </c>
      <c r="M8">
        <f t="shared" si="3"/>
        <v>11</v>
      </c>
      <c r="N8" t="str">
        <f t="shared" si="4"/>
        <v>Kiran Reddy</v>
      </c>
      <c r="O8" t="str">
        <f t="shared" si="5"/>
        <v>Kiran Reddy</v>
      </c>
      <c r="P8" t="str">
        <f t="shared" si="6"/>
        <v>Kiran Reddy</v>
      </c>
      <c r="Q8">
        <f t="shared" si="7"/>
        <v>12</v>
      </c>
      <c r="R8" t="str">
        <f t="shared" si="8"/>
        <v>kiran.reddy</v>
      </c>
      <c r="S8" t="str">
        <f>RIGHT(C8,LEN(C8)-FIND("@",C8,1))</f>
        <v>yahoo.com</v>
      </c>
      <c r="T8" t="str">
        <f t="shared" si="9"/>
        <v>Other</v>
      </c>
      <c r="U8" t="str">
        <f t="shared" si="10"/>
        <v>E107-Kiran Reddy</v>
      </c>
      <c r="V8" t="str">
        <f t="shared" si="11"/>
        <v>Kiran Reddy | Finance | Bangalore</v>
      </c>
      <c r="W8" t="str">
        <f t="shared" si="12"/>
        <v>kiran.reddy@yahoo.com</v>
      </c>
      <c r="X8">
        <f t="shared" si="13"/>
        <v>27</v>
      </c>
      <c r="Y8">
        <f t="shared" si="14"/>
        <v>11</v>
      </c>
      <c r="Z8">
        <f t="shared" si="15"/>
        <v>2021</v>
      </c>
      <c r="AA8">
        <f t="shared" si="16"/>
        <v>2021</v>
      </c>
      <c r="AB8" t="str">
        <f t="shared" si="17"/>
        <v>November</v>
      </c>
      <c r="AC8" t="str">
        <f t="shared" si="18"/>
        <v>27-Nov</v>
      </c>
      <c r="AD8">
        <f t="shared" ca="1" si="19"/>
        <v>33</v>
      </c>
    </row>
    <row r="9" spans="1:30" ht="45.75">
      <c r="A9" s="3" t="s">
        <v>80</v>
      </c>
      <c r="B9" s="3" t="s">
        <v>81</v>
      </c>
      <c r="C9" s="7" t="s">
        <v>82</v>
      </c>
      <c r="D9" s="3" t="s">
        <v>83</v>
      </c>
      <c r="E9" s="3" t="s">
        <v>21</v>
      </c>
      <c r="F9" s="8">
        <v>44935</v>
      </c>
      <c r="G9" s="8">
        <v>35706</v>
      </c>
      <c r="H9" s="3" t="s">
        <v>84</v>
      </c>
      <c r="I9" s="3">
        <v>42000</v>
      </c>
      <c r="J9" t="str">
        <f t="shared" si="0"/>
        <v>HYD</v>
      </c>
      <c r="K9" t="str">
        <f t="shared" si="1"/>
        <v>108</v>
      </c>
      <c r="L9" t="str">
        <f t="shared" si="2"/>
        <v>MKT</v>
      </c>
      <c r="M9">
        <f t="shared" si="3"/>
        <v>11</v>
      </c>
      <c r="N9" t="str">
        <f t="shared" si="4"/>
        <v>rohit kumar</v>
      </c>
      <c r="O9" t="str">
        <f t="shared" si="5"/>
        <v>Rohit Kumar</v>
      </c>
      <c r="P9" t="str">
        <f t="shared" si="6"/>
        <v>Rohit Kumar</v>
      </c>
      <c r="Q9">
        <f t="shared" si="7"/>
        <v>12</v>
      </c>
      <c r="R9" t="str">
        <f t="shared" si="8"/>
        <v>rohit.kumar</v>
      </c>
      <c r="S9" t="str">
        <f t="shared" si="20"/>
        <v>gmail.com</v>
      </c>
      <c r="T9" t="str">
        <f t="shared" si="9"/>
        <v>Gmail</v>
      </c>
      <c r="U9" t="str">
        <f t="shared" si="10"/>
        <v>E108-Rohit Kumar</v>
      </c>
      <c r="V9" t="str">
        <f t="shared" si="11"/>
        <v>Rohit Kumar | Marketing | Hyderabad</v>
      </c>
      <c r="W9" t="str">
        <f t="shared" si="12"/>
        <v>rohit.kumar@company.com</v>
      </c>
      <c r="X9">
        <f t="shared" si="13"/>
        <v>9</v>
      </c>
      <c r="Y9">
        <f t="shared" si="14"/>
        <v>1</v>
      </c>
      <c r="Z9">
        <f t="shared" si="15"/>
        <v>2023</v>
      </c>
      <c r="AA9">
        <f t="shared" si="16"/>
        <v>2023</v>
      </c>
      <c r="AB9" t="str">
        <f t="shared" si="17"/>
        <v>January</v>
      </c>
      <c r="AC9" t="str">
        <f t="shared" si="18"/>
        <v>09-Jan</v>
      </c>
      <c r="AD9">
        <f t="shared" ca="1" si="19"/>
        <v>28</v>
      </c>
    </row>
    <row r="10" spans="1:30" ht="45.75">
      <c r="A10" s="3" t="s">
        <v>85</v>
      </c>
      <c r="B10" s="3" t="s">
        <v>86</v>
      </c>
      <c r="C10" s="7" t="s">
        <v>87</v>
      </c>
      <c r="D10" s="3" t="s">
        <v>9</v>
      </c>
      <c r="E10" s="3" t="s">
        <v>74</v>
      </c>
      <c r="F10" s="8">
        <v>43996</v>
      </c>
      <c r="G10" s="8">
        <v>33374</v>
      </c>
      <c r="H10" s="3" t="s">
        <v>88</v>
      </c>
      <c r="I10" s="3">
        <v>55000</v>
      </c>
      <c r="J10" t="str">
        <f t="shared" si="0"/>
        <v>MUM</v>
      </c>
      <c r="K10" t="str">
        <f t="shared" si="1"/>
        <v>109</v>
      </c>
      <c r="L10" t="str">
        <f t="shared" si="2"/>
        <v>HR-</v>
      </c>
      <c r="M10">
        <f t="shared" si="3"/>
        <v>13</v>
      </c>
      <c r="N10" t="str">
        <f t="shared" si="4"/>
        <v>ANJALI SHARMA</v>
      </c>
      <c r="O10" t="str">
        <f t="shared" si="5"/>
        <v>Anjali Sharma</v>
      </c>
      <c r="P10" t="str">
        <f t="shared" si="6"/>
        <v>Anjali Sharma</v>
      </c>
      <c r="Q10">
        <f t="shared" si="7"/>
        <v>14</v>
      </c>
      <c r="R10" t="str">
        <f t="shared" si="8"/>
        <v>anjali.sharma</v>
      </c>
      <c r="S10" t="str">
        <f t="shared" si="20"/>
        <v>gmail.com</v>
      </c>
      <c r="T10" t="str">
        <f t="shared" si="9"/>
        <v>Gmail</v>
      </c>
      <c r="U10" t="str">
        <f t="shared" si="10"/>
        <v>E109-Anjali Sharma</v>
      </c>
      <c r="V10" t="str">
        <f t="shared" si="11"/>
        <v>Anjali Sharma | HR | Mumbai</v>
      </c>
      <c r="W10" t="str">
        <f t="shared" si="12"/>
        <v>anjali.sharma@company.com</v>
      </c>
      <c r="X10">
        <f t="shared" si="13"/>
        <v>14</v>
      </c>
      <c r="Y10">
        <f t="shared" si="14"/>
        <v>6</v>
      </c>
      <c r="Z10">
        <f t="shared" si="15"/>
        <v>2020</v>
      </c>
      <c r="AA10">
        <f t="shared" si="16"/>
        <v>2020</v>
      </c>
      <c r="AB10" t="str">
        <f t="shared" si="17"/>
        <v>June</v>
      </c>
      <c r="AC10" t="str">
        <f t="shared" si="18"/>
        <v>14-Jun</v>
      </c>
      <c r="AD10">
        <f t="shared" ca="1" si="19"/>
        <v>35</v>
      </c>
    </row>
    <row r="11" spans="1:30" ht="45.75">
      <c r="A11" s="3" t="s">
        <v>89</v>
      </c>
      <c r="B11" s="3" t="s">
        <v>90</v>
      </c>
      <c r="C11" s="7" t="s">
        <v>91</v>
      </c>
      <c r="D11" s="3" t="s">
        <v>6</v>
      </c>
      <c r="E11" s="3" t="s">
        <v>26</v>
      </c>
      <c r="F11" s="8">
        <v>45168</v>
      </c>
      <c r="G11" s="8">
        <v>36503</v>
      </c>
      <c r="H11" s="3" t="s">
        <v>92</v>
      </c>
      <c r="I11" s="3">
        <v>47000</v>
      </c>
      <c r="J11" t="str">
        <f t="shared" si="0"/>
        <v>CHE</v>
      </c>
      <c r="K11" t="str">
        <f t="shared" si="1"/>
        <v>110</v>
      </c>
      <c r="L11" t="str">
        <f t="shared" si="2"/>
        <v>IT-</v>
      </c>
      <c r="M11">
        <f t="shared" si="3"/>
        <v>12</v>
      </c>
      <c r="N11" t="str">
        <f t="shared" si="4"/>
        <v>Vikram Singh</v>
      </c>
      <c r="O11" t="str">
        <f t="shared" si="5"/>
        <v>Vikram Singh</v>
      </c>
      <c r="P11" t="str">
        <f t="shared" si="6"/>
        <v>Vikram Singh</v>
      </c>
      <c r="Q11">
        <f t="shared" si="7"/>
        <v>13</v>
      </c>
      <c r="R11" t="str">
        <f t="shared" si="8"/>
        <v>vikram.singh</v>
      </c>
      <c r="S11" t="str">
        <f t="shared" si="20"/>
        <v>yahoo.com</v>
      </c>
      <c r="T11" t="str">
        <f t="shared" si="9"/>
        <v>Other</v>
      </c>
      <c r="U11" t="str">
        <f t="shared" si="10"/>
        <v>E110-Vikram Singh</v>
      </c>
      <c r="V11" t="str">
        <f t="shared" si="11"/>
        <v>Vikram Singh | IT | Chennai</v>
      </c>
      <c r="W11" t="str">
        <f t="shared" si="12"/>
        <v>vikram.singh@yahoo.com</v>
      </c>
      <c r="X11">
        <f t="shared" si="13"/>
        <v>30</v>
      </c>
      <c r="Y11">
        <f t="shared" si="14"/>
        <v>8</v>
      </c>
      <c r="Z11">
        <f t="shared" si="15"/>
        <v>2023</v>
      </c>
      <c r="AA11">
        <f t="shared" si="16"/>
        <v>2023</v>
      </c>
      <c r="AB11" t="str">
        <f t="shared" si="17"/>
        <v>August</v>
      </c>
      <c r="AC11" t="str">
        <f t="shared" si="18"/>
        <v>30-Aug</v>
      </c>
      <c r="AD11">
        <f t="shared" ca="1" si="19"/>
        <v>26</v>
      </c>
    </row>
    <row r="12" spans="1:30" ht="45.75">
      <c r="A12" s="3" t="s">
        <v>93</v>
      </c>
      <c r="B12" s="3" t="s">
        <v>94</v>
      </c>
      <c r="C12" s="7" t="s">
        <v>95</v>
      </c>
      <c r="D12" s="3" t="s">
        <v>14</v>
      </c>
      <c r="E12" s="3" t="s">
        <v>21</v>
      </c>
      <c r="F12" s="8">
        <v>44604</v>
      </c>
      <c r="G12" s="8">
        <v>34451</v>
      </c>
      <c r="H12" s="3" t="s">
        <v>96</v>
      </c>
      <c r="I12" s="3">
        <v>46000</v>
      </c>
      <c r="J12" t="str">
        <f t="shared" si="0"/>
        <v>HYD</v>
      </c>
      <c r="K12" t="str">
        <f t="shared" si="1"/>
        <v>111</v>
      </c>
      <c r="L12" t="str">
        <f t="shared" si="2"/>
        <v>SAL</v>
      </c>
      <c r="M12">
        <f t="shared" si="3"/>
        <v>10</v>
      </c>
      <c r="N12" t="str">
        <f t="shared" si="4"/>
        <v>Neha Patel</v>
      </c>
      <c r="O12" t="str">
        <f t="shared" si="5"/>
        <v>Neha Patel</v>
      </c>
      <c r="P12" t="str">
        <f t="shared" si="6"/>
        <v>Neha Patel</v>
      </c>
      <c r="Q12">
        <f t="shared" si="7"/>
        <v>11</v>
      </c>
      <c r="R12" t="str">
        <f t="shared" si="8"/>
        <v>neha.patel</v>
      </c>
      <c r="S12" t="str">
        <f t="shared" si="20"/>
        <v>gmail.com</v>
      </c>
      <c r="T12" t="str">
        <f t="shared" si="9"/>
        <v>Gmail</v>
      </c>
      <c r="U12" t="str">
        <f t="shared" si="10"/>
        <v>E111-Neha Patel</v>
      </c>
      <c r="V12" t="str">
        <f t="shared" si="11"/>
        <v>Neha Patel | Sales | Hyderabad</v>
      </c>
      <c r="W12" t="str">
        <f t="shared" si="12"/>
        <v>neha.patel@company.com</v>
      </c>
      <c r="X12">
        <f t="shared" si="13"/>
        <v>12</v>
      </c>
      <c r="Y12">
        <f t="shared" si="14"/>
        <v>2</v>
      </c>
      <c r="Z12">
        <f t="shared" si="15"/>
        <v>2022</v>
      </c>
      <c r="AA12">
        <f t="shared" si="16"/>
        <v>2022</v>
      </c>
      <c r="AB12" t="str">
        <f t="shared" si="17"/>
        <v>February</v>
      </c>
      <c r="AC12" t="str">
        <f t="shared" si="18"/>
        <v>12-Feb</v>
      </c>
      <c r="AD12">
        <f t="shared" ca="1" si="19"/>
        <v>32</v>
      </c>
    </row>
    <row r="13" spans="1:30" ht="45.75">
      <c r="A13" s="3" t="s">
        <v>97</v>
      </c>
      <c r="B13" s="3" t="s">
        <v>98</v>
      </c>
      <c r="C13" s="7" t="s">
        <v>99</v>
      </c>
      <c r="D13" s="3" t="s">
        <v>11</v>
      </c>
      <c r="E13" s="3" t="s">
        <v>74</v>
      </c>
      <c r="F13" s="8">
        <v>44341</v>
      </c>
      <c r="G13" s="8">
        <v>32762</v>
      </c>
      <c r="H13" s="3" t="s">
        <v>100</v>
      </c>
      <c r="I13" s="3">
        <v>65000</v>
      </c>
      <c r="J13" t="str">
        <f t="shared" si="0"/>
        <v>MUM</v>
      </c>
      <c r="K13" t="str">
        <f t="shared" si="1"/>
        <v>112</v>
      </c>
      <c r="L13" t="str">
        <f t="shared" si="2"/>
        <v>FIN</v>
      </c>
      <c r="M13">
        <f t="shared" si="3"/>
        <v>10</v>
      </c>
      <c r="N13" t="str">
        <f t="shared" si="4"/>
        <v>AMIT GUPTA</v>
      </c>
      <c r="O13" t="str">
        <f t="shared" si="5"/>
        <v>Amit Gupta</v>
      </c>
      <c r="P13" t="str">
        <f t="shared" si="6"/>
        <v>Amit Gupta</v>
      </c>
      <c r="Q13">
        <f t="shared" si="7"/>
        <v>11</v>
      </c>
      <c r="R13" t="str">
        <f t="shared" si="8"/>
        <v>amit.gupta</v>
      </c>
      <c r="S13" t="str">
        <f t="shared" si="20"/>
        <v>gmail.com</v>
      </c>
      <c r="T13" t="str">
        <f t="shared" si="9"/>
        <v>Gmail</v>
      </c>
      <c r="U13" t="str">
        <f t="shared" si="10"/>
        <v>E112-Amit Gupta</v>
      </c>
      <c r="V13" t="str">
        <f t="shared" si="11"/>
        <v>Amit Gupta | Finance | Mumbai</v>
      </c>
      <c r="W13" t="str">
        <f t="shared" si="12"/>
        <v>amit.gupta@company.com</v>
      </c>
      <c r="X13">
        <f t="shared" si="13"/>
        <v>25</v>
      </c>
      <c r="Y13">
        <f t="shared" si="14"/>
        <v>5</v>
      </c>
      <c r="Z13">
        <f t="shared" si="15"/>
        <v>2021</v>
      </c>
      <c r="AA13">
        <f t="shared" si="16"/>
        <v>2021</v>
      </c>
      <c r="AB13" t="str">
        <f t="shared" si="17"/>
        <v>May</v>
      </c>
      <c r="AC13" t="str">
        <f t="shared" si="18"/>
        <v>25-May</v>
      </c>
      <c r="AD13">
        <f t="shared" ca="1" si="19"/>
        <v>37</v>
      </c>
    </row>
    <row r="14" spans="1:30" ht="45.75">
      <c r="A14" s="3" t="s">
        <v>101</v>
      </c>
      <c r="B14" s="3" t="s">
        <v>102</v>
      </c>
      <c r="C14" s="7" t="s">
        <v>103</v>
      </c>
      <c r="D14" s="3" t="s">
        <v>83</v>
      </c>
      <c r="E14" s="3" t="s">
        <v>23</v>
      </c>
      <c r="F14" s="8">
        <v>45572</v>
      </c>
      <c r="G14" s="8">
        <v>36910</v>
      </c>
      <c r="H14" s="3" t="s">
        <v>104</v>
      </c>
      <c r="I14" s="3">
        <v>40000</v>
      </c>
      <c r="J14" t="str">
        <f t="shared" si="0"/>
        <v>BLR</v>
      </c>
      <c r="K14" t="str">
        <f t="shared" si="1"/>
        <v>113</v>
      </c>
      <c r="L14" t="str">
        <f t="shared" si="2"/>
        <v>MKT</v>
      </c>
      <c r="M14">
        <f t="shared" si="3"/>
        <v>10</v>
      </c>
      <c r="N14" t="str">
        <f t="shared" si="4"/>
        <v>pooja nair</v>
      </c>
      <c r="O14" t="str">
        <f t="shared" si="5"/>
        <v>Pooja Nair</v>
      </c>
      <c r="P14" t="str">
        <f t="shared" si="6"/>
        <v>Pooja Nair</v>
      </c>
      <c r="Q14">
        <f t="shared" si="7"/>
        <v>11</v>
      </c>
      <c r="R14" t="str">
        <f t="shared" si="8"/>
        <v>pooja.nair</v>
      </c>
      <c r="S14" t="str">
        <f t="shared" si="20"/>
        <v>yahoo.com</v>
      </c>
      <c r="T14" t="str">
        <f t="shared" si="9"/>
        <v>Other</v>
      </c>
      <c r="U14" t="str">
        <f t="shared" si="10"/>
        <v>E113-Pooja Nair</v>
      </c>
      <c r="V14" t="str">
        <f t="shared" si="11"/>
        <v>Pooja Nair | Marketing | Bangalore</v>
      </c>
      <c r="W14" t="str">
        <f t="shared" si="12"/>
        <v>pooja.nair@yahoo.com</v>
      </c>
      <c r="X14">
        <f t="shared" si="13"/>
        <v>7</v>
      </c>
      <c r="Y14">
        <f t="shared" si="14"/>
        <v>10</v>
      </c>
      <c r="Z14">
        <f t="shared" si="15"/>
        <v>2024</v>
      </c>
      <c r="AA14">
        <f t="shared" si="16"/>
        <v>2024</v>
      </c>
      <c r="AB14" t="str">
        <f t="shared" si="17"/>
        <v>October</v>
      </c>
      <c r="AC14" t="str">
        <f t="shared" si="18"/>
        <v>07-Oct</v>
      </c>
      <c r="AD14">
        <f t="shared" ca="1" si="19"/>
        <v>25</v>
      </c>
    </row>
    <row r="15" spans="1:30" ht="45.75">
      <c r="A15" s="3" t="s">
        <v>105</v>
      </c>
      <c r="B15" s="3" t="s">
        <v>106</v>
      </c>
      <c r="C15" s="7" t="s">
        <v>107</v>
      </c>
      <c r="D15" s="3" t="s">
        <v>6</v>
      </c>
      <c r="E15" s="3" t="s">
        <v>21</v>
      </c>
      <c r="F15" s="8">
        <v>44911</v>
      </c>
      <c r="G15" s="8">
        <v>34888</v>
      </c>
      <c r="H15" s="3" t="s">
        <v>108</v>
      </c>
      <c r="I15" s="3">
        <v>58000</v>
      </c>
      <c r="J15" t="str">
        <f t="shared" si="0"/>
        <v>HYD</v>
      </c>
      <c r="K15" t="str">
        <f t="shared" si="1"/>
        <v>114</v>
      </c>
      <c r="L15" t="str">
        <f t="shared" si="2"/>
        <v>IT-</v>
      </c>
      <c r="M15">
        <f t="shared" si="3"/>
        <v>11</v>
      </c>
      <c r="N15" t="str">
        <f t="shared" si="4"/>
        <v>Suresh Babu</v>
      </c>
      <c r="O15" t="str">
        <f t="shared" si="5"/>
        <v>Suresh Babu</v>
      </c>
      <c r="P15" t="str">
        <f t="shared" si="6"/>
        <v>Suresh Babu</v>
      </c>
      <c r="Q15">
        <f t="shared" si="7"/>
        <v>12</v>
      </c>
      <c r="R15" t="str">
        <f t="shared" si="8"/>
        <v>suresh.babu</v>
      </c>
      <c r="S15" t="str">
        <f t="shared" si="20"/>
        <v>gmail.com</v>
      </c>
      <c r="T15" t="str">
        <f t="shared" si="9"/>
        <v>Gmail</v>
      </c>
      <c r="U15" t="str">
        <f t="shared" si="10"/>
        <v>E114-Suresh Babu</v>
      </c>
      <c r="V15" t="str">
        <f t="shared" si="11"/>
        <v>Suresh Babu | IT | Hyderabad</v>
      </c>
      <c r="W15" t="str">
        <f t="shared" si="12"/>
        <v>suresh.babu@company.com</v>
      </c>
      <c r="X15">
        <f t="shared" si="13"/>
        <v>16</v>
      </c>
      <c r="Y15">
        <f t="shared" si="14"/>
        <v>12</v>
      </c>
      <c r="Z15">
        <f t="shared" si="15"/>
        <v>2022</v>
      </c>
      <c r="AA15">
        <f t="shared" si="16"/>
        <v>2022</v>
      </c>
      <c r="AB15" t="str">
        <f t="shared" si="17"/>
        <v>December</v>
      </c>
      <c r="AC15" t="str">
        <f t="shared" si="18"/>
        <v>16-Dec</v>
      </c>
      <c r="AD15">
        <f t="shared" ca="1" si="19"/>
        <v>31</v>
      </c>
    </row>
    <row r="16" spans="1:30" ht="45.75">
      <c r="A16" s="3" t="s">
        <v>109</v>
      </c>
      <c r="B16" s="3" t="s">
        <v>110</v>
      </c>
      <c r="C16" s="7" t="s">
        <v>111</v>
      </c>
      <c r="D16" s="3" t="s">
        <v>9</v>
      </c>
      <c r="E16" s="3" t="s">
        <v>26</v>
      </c>
      <c r="F16" s="8">
        <v>44988</v>
      </c>
      <c r="G16" s="8">
        <v>35756</v>
      </c>
      <c r="H16" s="3" t="s">
        <v>112</v>
      </c>
      <c r="I16" s="3">
        <v>43000</v>
      </c>
      <c r="J16" t="str">
        <f t="shared" si="0"/>
        <v>CHE</v>
      </c>
      <c r="K16" t="str">
        <f t="shared" si="1"/>
        <v>115</v>
      </c>
      <c r="L16" t="str">
        <f>MID(H16,5,3)</f>
        <v>HR-</v>
      </c>
      <c r="M16">
        <f t="shared" si="3"/>
        <v>11</v>
      </c>
      <c r="N16" t="str">
        <f t="shared" si="4"/>
        <v>DIVYA REDDY</v>
      </c>
      <c r="O16" t="str">
        <f t="shared" si="5"/>
        <v>Divya Reddy</v>
      </c>
      <c r="P16" t="str">
        <f t="shared" si="6"/>
        <v>Divya Reddy</v>
      </c>
      <c r="Q16">
        <f t="shared" si="7"/>
        <v>12</v>
      </c>
      <c r="R16" t="str">
        <f t="shared" si="8"/>
        <v>divya.reddy</v>
      </c>
      <c r="S16" t="str">
        <f t="shared" si="20"/>
        <v>gmail.com</v>
      </c>
      <c r="T16" t="str">
        <f t="shared" si="9"/>
        <v>Gmail</v>
      </c>
      <c r="U16" t="str">
        <f t="shared" si="10"/>
        <v>E115-Divya Reddy</v>
      </c>
      <c r="V16" t="str">
        <f t="shared" si="11"/>
        <v>Divya Reddy | HR | Chennai</v>
      </c>
      <c r="W16" t="str">
        <f t="shared" si="12"/>
        <v>divya.reddy@company.com</v>
      </c>
      <c r="X16">
        <f t="shared" si="13"/>
        <v>3</v>
      </c>
      <c r="Y16">
        <f t="shared" si="14"/>
        <v>3</v>
      </c>
      <c r="Z16">
        <f t="shared" si="15"/>
        <v>2023</v>
      </c>
      <c r="AA16">
        <f t="shared" si="16"/>
        <v>2023</v>
      </c>
      <c r="AB16" t="str">
        <f t="shared" si="17"/>
        <v>March</v>
      </c>
      <c r="AC16" t="str">
        <f t="shared" si="18"/>
        <v>03-Mar</v>
      </c>
      <c r="AD16">
        <f t="shared" ca="1" si="19"/>
        <v>28</v>
      </c>
    </row>
    <row r="17" spans="1:30" ht="60.75">
      <c r="A17" s="3" t="s">
        <v>113</v>
      </c>
      <c r="B17" s="3" t="s">
        <v>114</v>
      </c>
      <c r="C17" s="7" t="s">
        <v>115</v>
      </c>
      <c r="D17" s="3" t="s">
        <v>14</v>
      </c>
      <c r="E17" s="3" t="s">
        <v>74</v>
      </c>
      <c r="F17" s="8">
        <v>44001</v>
      </c>
      <c r="G17" s="8">
        <v>32919</v>
      </c>
      <c r="H17" s="3" t="s">
        <v>116</v>
      </c>
      <c r="I17" s="3">
        <v>51000</v>
      </c>
      <c r="J17" t="str">
        <f t="shared" si="0"/>
        <v>MUM</v>
      </c>
      <c r="K17" t="str">
        <f t="shared" si="1"/>
        <v>116</v>
      </c>
      <c r="L17" t="str">
        <f t="shared" si="2"/>
        <v>SAL</v>
      </c>
      <c r="M17">
        <f t="shared" si="3"/>
        <v>12</v>
      </c>
      <c r="N17" t="str">
        <f>TRIM(B17)</f>
        <v>Naveen Kumar</v>
      </c>
      <c r="O17" t="str">
        <f t="shared" si="5"/>
        <v>Naveen Kumar</v>
      </c>
      <c r="P17" t="str">
        <f t="shared" si="6"/>
        <v>Naveen Kumar</v>
      </c>
      <c r="Q17">
        <f t="shared" si="7"/>
        <v>13</v>
      </c>
      <c r="R17" t="str">
        <f t="shared" si="8"/>
        <v>naveen.kumar</v>
      </c>
      <c r="S17" t="str">
        <f t="shared" si="20"/>
        <v>yahoo.com</v>
      </c>
      <c r="T17" t="str">
        <f t="shared" si="9"/>
        <v>Other</v>
      </c>
      <c r="U17" t="str">
        <f t="shared" si="10"/>
        <v>E116-Naveen Kumar</v>
      </c>
      <c r="V17" t="str">
        <f t="shared" si="11"/>
        <v>Naveen Kumar | Sales | Mumbai</v>
      </c>
      <c r="W17" t="str">
        <f t="shared" si="12"/>
        <v>naveen.kumar@yahoo.com</v>
      </c>
      <c r="X17">
        <f t="shared" si="13"/>
        <v>19</v>
      </c>
      <c r="Y17">
        <f t="shared" si="14"/>
        <v>6</v>
      </c>
      <c r="Z17">
        <f t="shared" si="15"/>
        <v>2020</v>
      </c>
      <c r="AA17">
        <f t="shared" si="16"/>
        <v>2020</v>
      </c>
      <c r="AB17" t="str">
        <f t="shared" si="17"/>
        <v>June</v>
      </c>
      <c r="AC17" t="str">
        <f t="shared" si="18"/>
        <v>19-Jun</v>
      </c>
      <c r="AD17">
        <f t="shared" ca="1" si="19"/>
        <v>36</v>
      </c>
    </row>
    <row r="18" spans="1:30" ht="45.75">
      <c r="A18" s="3" t="s">
        <v>117</v>
      </c>
      <c r="B18" s="3" t="s">
        <v>118</v>
      </c>
      <c r="C18" s="7" t="s">
        <v>119</v>
      </c>
      <c r="D18" s="3" t="s">
        <v>11</v>
      </c>
      <c r="E18" s="3" t="s">
        <v>21</v>
      </c>
      <c r="F18" s="8">
        <v>45319</v>
      </c>
      <c r="G18" s="8">
        <v>36072</v>
      </c>
      <c r="H18" s="3" t="s">
        <v>120</v>
      </c>
      <c r="I18" s="3">
        <v>49000</v>
      </c>
      <c r="J18" t="str">
        <f t="shared" si="0"/>
        <v>HYD</v>
      </c>
      <c r="K18" t="str">
        <f t="shared" si="1"/>
        <v>117</v>
      </c>
      <c r="L18" t="str">
        <f t="shared" si="2"/>
        <v>FIN</v>
      </c>
      <c r="M18">
        <f t="shared" si="3"/>
        <v>10</v>
      </c>
      <c r="N18" t="str">
        <f t="shared" si="4"/>
        <v>Swathi Rao</v>
      </c>
      <c r="O18" t="str">
        <f t="shared" si="5"/>
        <v>Swathi Rao</v>
      </c>
      <c r="P18" t="str">
        <f t="shared" si="6"/>
        <v>Swathi Rao</v>
      </c>
      <c r="Q18">
        <f t="shared" si="7"/>
        <v>11</v>
      </c>
      <c r="R18" t="str">
        <f t="shared" si="8"/>
        <v>swathi.rao</v>
      </c>
      <c r="S18" t="str">
        <f t="shared" si="20"/>
        <v>gmail.com</v>
      </c>
      <c r="T18" t="str">
        <f t="shared" si="9"/>
        <v>Gmail</v>
      </c>
      <c r="U18" t="str">
        <f t="shared" si="10"/>
        <v>E117-Swathi Rao</v>
      </c>
      <c r="V18" t="str">
        <f t="shared" si="11"/>
        <v>Swathi Rao | Finance | Hyderabad</v>
      </c>
      <c r="W18" t="str">
        <f t="shared" si="12"/>
        <v>swathi.rao@company.com</v>
      </c>
      <c r="X18">
        <f t="shared" si="13"/>
        <v>28</v>
      </c>
      <c r="Y18">
        <f t="shared" si="14"/>
        <v>1</v>
      </c>
      <c r="Z18">
        <f t="shared" si="15"/>
        <v>2024</v>
      </c>
      <c r="AA18">
        <f t="shared" si="16"/>
        <v>2024</v>
      </c>
      <c r="AB18" t="str">
        <f t="shared" si="17"/>
        <v>January</v>
      </c>
      <c r="AC18" t="str">
        <f t="shared" si="18"/>
        <v>28-Jan</v>
      </c>
      <c r="AD18">
        <f t="shared" ca="1" si="19"/>
        <v>27</v>
      </c>
    </row>
    <row r="19" spans="1:30" ht="45.75">
      <c r="A19" s="3" t="s">
        <v>121</v>
      </c>
      <c r="B19" s="3" t="s">
        <v>122</v>
      </c>
      <c r="C19" s="7" t="s">
        <v>123</v>
      </c>
      <c r="D19" s="3" t="s">
        <v>83</v>
      </c>
      <c r="E19" s="3" t="s">
        <v>26</v>
      </c>
      <c r="F19" s="8">
        <v>44421</v>
      </c>
      <c r="G19" s="8">
        <v>34118</v>
      </c>
      <c r="H19" s="3" t="s">
        <v>124</v>
      </c>
      <c r="I19" s="3">
        <v>53000</v>
      </c>
      <c r="J19" t="str">
        <f t="shared" si="0"/>
        <v>CHE</v>
      </c>
      <c r="K19" t="str">
        <f t="shared" si="1"/>
        <v>118</v>
      </c>
      <c r="L19" t="str">
        <f t="shared" si="2"/>
        <v>MKT</v>
      </c>
      <c r="M19">
        <f t="shared" si="3"/>
        <v>11</v>
      </c>
      <c r="N19" t="str">
        <f t="shared" si="4"/>
        <v>RAHUL VERMA</v>
      </c>
      <c r="O19" t="str">
        <f t="shared" si="5"/>
        <v>Rahul Verma</v>
      </c>
      <c r="P19" t="str">
        <f t="shared" si="6"/>
        <v>Rahul Verma</v>
      </c>
      <c r="Q19">
        <f t="shared" si="7"/>
        <v>12</v>
      </c>
      <c r="R19" t="str">
        <f t="shared" si="8"/>
        <v>rahul.verma</v>
      </c>
      <c r="S19" t="str">
        <f t="shared" si="20"/>
        <v>gmail.com</v>
      </c>
      <c r="T19" t="str">
        <f t="shared" si="9"/>
        <v>Gmail</v>
      </c>
      <c r="U19" t="str">
        <f t="shared" si="10"/>
        <v>E118-Rahul Verma</v>
      </c>
      <c r="V19" t="str">
        <f t="shared" si="11"/>
        <v>Rahul Verma | Marketing | Chennai</v>
      </c>
      <c r="W19" t="str">
        <f t="shared" si="12"/>
        <v>rahul.verma@company.com</v>
      </c>
      <c r="X19">
        <f t="shared" si="13"/>
        <v>13</v>
      </c>
      <c r="Y19">
        <f t="shared" si="14"/>
        <v>8</v>
      </c>
      <c r="Z19">
        <f t="shared" si="15"/>
        <v>2021</v>
      </c>
      <c r="AA19">
        <f t="shared" si="16"/>
        <v>2021</v>
      </c>
      <c r="AB19" t="str">
        <f t="shared" si="17"/>
        <v>August</v>
      </c>
      <c r="AC19" t="str">
        <f t="shared" si="18"/>
        <v>13-Aug</v>
      </c>
      <c r="AD19">
        <f t="shared" ca="1" si="19"/>
        <v>33</v>
      </c>
    </row>
    <row r="20" spans="1:30">
      <c r="A20" s="3"/>
      <c r="B20" s="3"/>
      <c r="C20" s="9"/>
      <c r="D20" s="3"/>
      <c r="E20" s="3"/>
      <c r="F20" s="3"/>
      <c r="G20" s="3"/>
      <c r="H20" s="3"/>
      <c r="I20" s="3"/>
    </row>
    <row r="21" spans="1:30">
      <c r="A21" s="2"/>
      <c r="B21" s="2"/>
      <c r="C21" s="2"/>
      <c r="D21" s="2"/>
      <c r="E21" s="2"/>
      <c r="F21" s="2"/>
      <c r="G21" s="2"/>
      <c r="H21" s="2"/>
      <c r="I21" s="2"/>
    </row>
    <row r="22" spans="1:30">
      <c r="A22" s="2"/>
      <c r="B22" s="2"/>
      <c r="C22" s="2"/>
      <c r="D22" s="2"/>
      <c r="E22" s="2"/>
      <c r="F22" s="2"/>
      <c r="G22" s="2"/>
      <c r="H22" s="2"/>
      <c r="I22" s="2"/>
    </row>
    <row r="23" spans="1:30">
      <c r="A23" s="2"/>
      <c r="B23" s="2"/>
      <c r="C23" s="2"/>
      <c r="D23" s="2"/>
      <c r="E23" s="2"/>
      <c r="F23" s="2"/>
      <c r="G23" s="2"/>
      <c r="H23" s="2"/>
      <c r="I23" s="2"/>
    </row>
    <row r="24" spans="1:30">
      <c r="A24" s="2"/>
      <c r="B24" s="2" t="s">
        <v>125</v>
      </c>
      <c r="C24" s="2"/>
      <c r="D24" s="2"/>
      <c r="E24" s="2"/>
      <c r="F24" s="2"/>
      <c r="G24" s="2"/>
      <c r="H24" s="2"/>
      <c r="I24" s="2"/>
    </row>
    <row r="25" spans="1:30" ht="15.75">
      <c r="A25" s="2"/>
      <c r="B25" s="2" t="s">
        <v>126</v>
      </c>
      <c r="C25" s="2"/>
      <c r="D25" s="2"/>
      <c r="E25" s="2"/>
      <c r="F25" s="2"/>
      <c r="G25" s="2"/>
      <c r="H25" s="2"/>
      <c r="I25" s="2"/>
    </row>
    <row r="26" spans="1:30">
      <c r="A26" s="2"/>
      <c r="B26" s="2"/>
      <c r="C26" s="2"/>
      <c r="D26" s="2"/>
      <c r="E26" s="2"/>
      <c r="F26" s="2"/>
      <c r="G26" s="2"/>
      <c r="H26" s="2"/>
      <c r="I26" s="2"/>
    </row>
    <row r="27" spans="1:30">
      <c r="A27" s="2"/>
      <c r="B27" s="2" t="s">
        <v>127</v>
      </c>
      <c r="C27" s="2"/>
      <c r="D27" s="2"/>
      <c r="E27" s="2"/>
      <c r="F27" s="2"/>
      <c r="G27" s="2"/>
      <c r="H27" s="2"/>
      <c r="I27" s="2"/>
    </row>
    <row r="28" spans="1:30" ht="15.75">
      <c r="A28" s="2"/>
      <c r="B28" s="2" t="s">
        <v>128</v>
      </c>
      <c r="C28" s="2"/>
      <c r="D28" s="2"/>
      <c r="E28" s="2"/>
      <c r="F28" s="2"/>
      <c r="G28" s="2"/>
      <c r="H28" s="2"/>
      <c r="I28" s="2"/>
    </row>
    <row r="29" spans="1:30">
      <c r="A29" s="2"/>
      <c r="B29" s="2"/>
      <c r="C29" s="2"/>
      <c r="D29" s="2"/>
      <c r="E29" s="2"/>
      <c r="F29" s="2"/>
      <c r="G29" s="2"/>
      <c r="H29" s="2"/>
      <c r="I29" s="2"/>
    </row>
    <row r="30" spans="1:30">
      <c r="A30" s="2"/>
      <c r="B30" s="2" t="s">
        <v>129</v>
      </c>
      <c r="C30" s="2"/>
      <c r="D30" s="2"/>
      <c r="E30" s="2"/>
      <c r="F30" s="2"/>
      <c r="G30" s="2"/>
      <c r="H30" s="2"/>
      <c r="I30" s="2"/>
    </row>
    <row r="31" spans="1:30" ht="15.75">
      <c r="A31" s="2"/>
      <c r="B31" s="2" t="s">
        <v>130</v>
      </c>
      <c r="C31" s="2"/>
      <c r="D31" s="2"/>
      <c r="E31" s="2"/>
      <c r="F31" s="2"/>
      <c r="G31" s="2"/>
      <c r="H31" s="2"/>
      <c r="I31" s="2"/>
    </row>
    <row r="32" spans="1:30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 t="s">
        <v>131</v>
      </c>
      <c r="C33" s="2"/>
      <c r="D33" s="2"/>
      <c r="E33" s="2"/>
      <c r="F33" s="2"/>
      <c r="G33" s="2"/>
      <c r="H33" s="2"/>
      <c r="I33" s="2"/>
    </row>
    <row r="34" spans="1:9">
      <c r="A34" s="2"/>
      <c r="B34" s="2" t="s">
        <v>132</v>
      </c>
      <c r="C34" s="2"/>
      <c r="D34" s="2"/>
      <c r="E34" s="2"/>
      <c r="F34" s="2"/>
      <c r="G34" s="2"/>
      <c r="H34" s="2"/>
      <c r="I34" s="2"/>
    </row>
    <row r="35" spans="1:9">
      <c r="A35" s="2"/>
      <c r="B35" s="2" t="s">
        <v>133</v>
      </c>
      <c r="C35" s="2"/>
      <c r="D35" s="2"/>
      <c r="E35" s="2"/>
      <c r="F35" s="2"/>
      <c r="G35" s="2"/>
      <c r="H35" s="2"/>
      <c r="I35" s="2"/>
    </row>
    <row r="36" spans="1:9" ht="15.75">
      <c r="A36" s="2"/>
      <c r="B36" s="2" t="s">
        <v>134</v>
      </c>
      <c r="C36" s="2"/>
      <c r="D36" s="2"/>
      <c r="E36" s="2"/>
      <c r="F36" s="2"/>
      <c r="G36" s="2"/>
      <c r="H36" s="2"/>
      <c r="I36" s="2"/>
    </row>
    <row r="37" spans="1:9">
      <c r="A37" s="2"/>
      <c r="B37" s="2" t="s">
        <v>135</v>
      </c>
      <c r="C37" s="2"/>
      <c r="D37" s="2"/>
      <c r="E37" s="2"/>
      <c r="F37" s="2"/>
      <c r="G37" s="2"/>
      <c r="H37" s="2"/>
      <c r="I37" s="2"/>
    </row>
    <row r="38" spans="1:9" ht="15.75">
      <c r="A38" s="2"/>
      <c r="B38" s="2" t="s">
        <v>136</v>
      </c>
      <c r="C38" s="2"/>
      <c r="D38" s="2"/>
      <c r="E38" s="2"/>
      <c r="F38" s="2"/>
      <c r="G38" s="2"/>
      <c r="H38" s="2"/>
      <c r="I38" s="2"/>
    </row>
    <row r="39" spans="1:9">
      <c r="A39" s="2"/>
      <c r="B39" s="2" t="s">
        <v>137</v>
      </c>
      <c r="C39" s="2"/>
      <c r="D39" s="2"/>
      <c r="E39" s="2"/>
      <c r="F39" s="2"/>
      <c r="G39" s="2"/>
      <c r="H39" s="2"/>
      <c r="I39" s="2"/>
    </row>
    <row r="40" spans="1:9" ht="15.75">
      <c r="A40" s="2"/>
      <c r="B40" s="2" t="s">
        <v>138</v>
      </c>
      <c r="C40" s="2"/>
      <c r="D40" s="2"/>
      <c r="E40" s="2"/>
      <c r="F40" s="2"/>
      <c r="G40" s="2"/>
      <c r="H40" s="2"/>
      <c r="I40" s="2"/>
    </row>
    <row r="41" spans="1:9">
      <c r="A41" s="2"/>
      <c r="B41" s="2" t="s">
        <v>139</v>
      </c>
      <c r="C41" s="2"/>
      <c r="D41" s="2"/>
      <c r="E41" s="2"/>
      <c r="F41" s="2"/>
      <c r="G41" s="2"/>
      <c r="H41" s="2"/>
      <c r="I41" s="2"/>
    </row>
    <row r="42" spans="1:9" ht="15.75">
      <c r="A42" s="2"/>
      <c r="B42" s="2" t="s">
        <v>140</v>
      </c>
      <c r="C42" s="2"/>
      <c r="D42" s="2"/>
      <c r="E42" s="2"/>
      <c r="F42" s="2"/>
      <c r="G42" s="2"/>
      <c r="H42" s="2"/>
      <c r="I42" s="2"/>
    </row>
    <row r="43" spans="1:9" ht="15.75">
      <c r="A43" s="2"/>
      <c r="B43" s="2" t="s">
        <v>141</v>
      </c>
      <c r="C43" s="2"/>
      <c r="D43" s="2"/>
      <c r="E43" s="2"/>
      <c r="F43" s="2"/>
      <c r="G43" s="2"/>
      <c r="H43" s="2"/>
      <c r="I43" s="2"/>
    </row>
    <row r="44" spans="1:9">
      <c r="A44" s="2"/>
      <c r="B44" s="2" t="s">
        <v>142</v>
      </c>
      <c r="C44" s="2"/>
      <c r="D44" s="2"/>
      <c r="E44" s="2"/>
      <c r="F44" s="2"/>
      <c r="G44" s="2"/>
      <c r="H44" s="2"/>
      <c r="I44" s="2"/>
    </row>
    <row r="45" spans="1:9" ht="15.75">
      <c r="A45" s="2"/>
      <c r="B45" s="10" t="s">
        <v>143</v>
      </c>
      <c r="C45" s="2"/>
      <c r="D45" s="2"/>
      <c r="E45" s="2"/>
      <c r="F45" s="2"/>
      <c r="G45" s="2"/>
      <c r="H45" s="2"/>
      <c r="I45" s="2"/>
    </row>
    <row r="46" spans="1:9">
      <c r="A46" s="2"/>
      <c r="B46" s="2" t="s">
        <v>144</v>
      </c>
      <c r="C46" s="2"/>
      <c r="D46" s="2"/>
      <c r="E46" s="2"/>
      <c r="F46" s="2"/>
      <c r="G46" s="2"/>
      <c r="H46" s="2"/>
      <c r="I46" s="2"/>
    </row>
    <row r="47" spans="1:9" ht="15.75">
      <c r="A47" s="2"/>
      <c r="B47" s="10" t="s">
        <v>145</v>
      </c>
      <c r="C47" s="2"/>
      <c r="D47" s="2"/>
      <c r="E47" s="2"/>
      <c r="F47" s="2"/>
      <c r="G47" s="2"/>
      <c r="H47" s="2"/>
      <c r="I47" s="2"/>
    </row>
    <row r="48" spans="1:9" ht="15.75">
      <c r="A48" s="2"/>
      <c r="B48" s="2" t="s">
        <v>146</v>
      </c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 ht="31.5">
      <c r="A52" s="2"/>
      <c r="B52" s="11" t="s">
        <v>147</v>
      </c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 t="s">
        <v>148</v>
      </c>
      <c r="C54" s="2"/>
      <c r="D54" s="2"/>
      <c r="E54" s="2"/>
      <c r="F54" s="2"/>
      <c r="G54" s="2"/>
      <c r="H54" s="2"/>
      <c r="I54" s="2"/>
    </row>
    <row r="55" spans="1:9">
      <c r="A55" s="2"/>
      <c r="B55" s="2" t="s">
        <v>149</v>
      </c>
      <c r="C55" s="2"/>
      <c r="D55" s="2"/>
      <c r="E55" s="2"/>
      <c r="F55" s="2"/>
      <c r="G55" s="2"/>
      <c r="H55" s="2"/>
      <c r="I55" s="2"/>
    </row>
    <row r="56" spans="1:9">
      <c r="A56" s="2"/>
      <c r="B56" s="2" t="s">
        <v>150</v>
      </c>
      <c r="C56" s="2"/>
      <c r="D56" s="2"/>
      <c r="E56" s="2"/>
      <c r="F56" s="2"/>
      <c r="G56" s="2"/>
      <c r="H56" s="2"/>
      <c r="I56" s="2"/>
    </row>
    <row r="57" spans="1:9">
      <c r="A57" s="2"/>
      <c r="B57" s="2" t="s">
        <v>151</v>
      </c>
      <c r="C57" s="2"/>
      <c r="D57" s="2"/>
      <c r="E57" s="2"/>
      <c r="F57" s="2"/>
      <c r="G57" s="2"/>
      <c r="H57" s="2"/>
      <c r="I57" s="2"/>
    </row>
    <row r="58" spans="1:9">
      <c r="A58" s="2"/>
      <c r="B58" s="2" t="s">
        <v>152</v>
      </c>
      <c r="C58" s="2"/>
      <c r="D58" s="2"/>
      <c r="E58" s="2"/>
      <c r="F58" s="2"/>
      <c r="G58" s="2"/>
      <c r="H58" s="2"/>
      <c r="I58" s="2"/>
    </row>
    <row r="59" spans="1:9" ht="15.75">
      <c r="A59" s="2"/>
      <c r="B59" s="2" t="s">
        <v>153</v>
      </c>
      <c r="C59" s="2"/>
      <c r="D59" s="2"/>
      <c r="E59" s="2"/>
      <c r="F59" s="2"/>
      <c r="G59" s="2"/>
      <c r="H59" s="2"/>
      <c r="I59" s="2"/>
    </row>
    <row r="60" spans="1:9">
      <c r="A60" s="2"/>
      <c r="B60" s="2" t="s">
        <v>154</v>
      </c>
      <c r="C60" s="2"/>
      <c r="D60" s="2"/>
      <c r="E60" s="2"/>
      <c r="F60" s="2"/>
      <c r="G60" s="2"/>
      <c r="H60" s="2"/>
      <c r="I60" s="2"/>
    </row>
    <row r="61" spans="1:9" ht="15.75">
      <c r="A61" s="2"/>
      <c r="B61" s="12">
        <v>46044</v>
      </c>
      <c r="C61" s="2"/>
      <c r="D61" s="2"/>
      <c r="E61" s="2"/>
      <c r="F61" s="2"/>
      <c r="G61" s="2"/>
      <c r="H61" s="2"/>
      <c r="I61" s="2"/>
    </row>
    <row r="62" spans="1:9">
      <c r="A62" s="2"/>
      <c r="B62" s="2" t="s">
        <v>155</v>
      </c>
      <c r="C62" s="2"/>
      <c r="D62" s="2"/>
      <c r="E62" s="2"/>
      <c r="F62" s="2"/>
      <c r="G62" s="2"/>
      <c r="H62" s="2"/>
      <c r="I62" s="2"/>
    </row>
  </sheetData>
  <hyperlinks>
    <hyperlink ref="C2" r:id="rId1" xr:uid="{246AE75C-1AA6-44FA-84EF-49A178968BC1}"/>
    <hyperlink ref="C3" r:id="rId2" xr:uid="{A00B3428-94B4-4749-A8BF-5B157DA8496D}"/>
    <hyperlink ref="C4" r:id="rId3" xr:uid="{1FF00DDF-4DB2-4427-9615-C023C7E36840}"/>
    <hyperlink ref="C5" r:id="rId4" xr:uid="{A9F5601D-8E9C-4BC5-8D21-27BBF11478A0}"/>
    <hyperlink ref="C6" r:id="rId5" xr:uid="{ACB042F9-00BF-456C-ADA5-BFF62996E216}"/>
    <hyperlink ref="C7" r:id="rId6" xr:uid="{868D4C46-6131-495B-847F-8E737D93F78A}"/>
    <hyperlink ref="C8" r:id="rId7" xr:uid="{70D19170-246C-4D43-8EBD-047E2A9FCA5D}"/>
    <hyperlink ref="C9" r:id="rId8" xr:uid="{8FC8B154-0011-4AF8-B38E-9FFC50821727}"/>
    <hyperlink ref="C10" r:id="rId9" xr:uid="{7F347E60-0011-4DF5-9DF0-CCEB317C9A71}"/>
    <hyperlink ref="C11" r:id="rId10" xr:uid="{8399FE38-8BE9-48AE-A588-06B2FCB20A82}"/>
    <hyperlink ref="C12" r:id="rId11" xr:uid="{23113E93-81E6-4F52-89E8-ACAA364C32A6}"/>
    <hyperlink ref="C13" r:id="rId12" xr:uid="{7A9B762B-AAF6-4B92-9F15-E0CEC02D98C2}"/>
    <hyperlink ref="C14" r:id="rId13" xr:uid="{CEFD0316-7044-4A7E-83B0-9354F44F4749}"/>
    <hyperlink ref="C15" r:id="rId14" xr:uid="{5C6963F4-8397-4A3E-B952-D608C2EA8C8D}"/>
    <hyperlink ref="C16" r:id="rId15" xr:uid="{47C4EE63-C590-424F-88F7-EC301AF822F6}"/>
    <hyperlink ref="C17" r:id="rId16" xr:uid="{3A871B93-6197-495A-A0C7-CA58916E50BD}"/>
    <hyperlink ref="C18" r:id="rId17" xr:uid="{52C0B56E-66EC-4172-9855-9365BDECD6D4}"/>
    <hyperlink ref="C19" r:id="rId18" xr:uid="{A06825BB-CEB7-4A94-B55D-DB433C1127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2026-09-29T06:15:22Z</dcterms:created>
  <dcterms:modified xsi:type="dcterms:W3CDTF">2026-09-29T17:11:11Z</dcterms:modified>
  <cp:category/>
  <cp:contentStatus/>
</cp:coreProperties>
</file>