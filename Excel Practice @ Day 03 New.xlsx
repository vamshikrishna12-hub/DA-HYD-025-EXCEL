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10" yWindow="-110" windowWidth="19420" windowHeight="11020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  <definedName name="Insurance">Patient_Data!$J$2:$J$41</definedName>
    <definedName name="status">Patient_Data!$L$2:$L$41</definedName>
    <definedName name="stay">Patient_Data!$M$2:$M$41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6" i="1" l="1"/>
  <c r="F65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U40" i="1"/>
  <c r="U41" i="1"/>
  <c r="U28" i="1"/>
  <c r="U29" i="1"/>
  <c r="U30" i="1"/>
  <c r="U31" i="1"/>
  <c r="U32" i="1"/>
  <c r="U33" i="1"/>
  <c r="U34" i="1"/>
  <c r="U35" i="1"/>
  <c r="U36" i="1"/>
  <c r="U37" i="1"/>
  <c r="U38" i="1"/>
  <c r="U3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2" i="1"/>
  <c r="N33" i="1"/>
  <c r="N34" i="1"/>
  <c r="N35" i="1"/>
  <c r="N36" i="1"/>
  <c r="N37" i="1"/>
  <c r="N38" i="1"/>
  <c r="N39" i="1"/>
  <c r="N40" i="1"/>
  <c r="N4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</calcChain>
</file>

<file path=xl/sharedStrings.xml><?xml version="1.0" encoding="utf-8"?>
<sst xmlns="http://schemas.openxmlformats.org/spreadsheetml/2006/main" count="465" uniqueCount="232">
  <si>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</si>
  <si>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</si>
  <si>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</si>
  <si>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</si>
  <si>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</si>
  <si>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</si>
  <si>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</si>
  <si>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</si>
  <si>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</si>
  <si>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</si>
  <si>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</si>
  <si>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</si>
  <si>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</si>
  <si>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</si>
  <si>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</si>
  <si>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</si>
  <si>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</si>
  <si>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</si>
  <si>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</si>
  <si>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</si>
  <si>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</si>
  <si>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</si>
  <si>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</si>
  <si>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</si>
  <si>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</si>
  <si>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</si>
  <si>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</si>
  <si>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</si>
  <si>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</si>
  <si>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</si>
  <si>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</si>
  <si>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</si>
  <si>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</si>
  <si>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</si>
  <si>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</si>
  <si>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</si>
  <si>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</si>
  <si>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</si>
  <si>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</si>
  <si>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</si>
  <si>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</si>
  <si>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</si>
  <si>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</si>
  <si>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</si>
  <si>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</si>
  <si>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</si>
  <si>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</si>
  <si>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</si>
  <si>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</si>
  <si>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</si>
  <si>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</si>
  <si>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</si>
  <si>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</si>
  <si>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</si>
  <si>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</si>
  <si>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</si>
  <si>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</si>
  <si>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</si>
  <si>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</si>
  <si>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</si>
  <si>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</si>
  <si>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</si>
  <si>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</si>
  <si>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</si>
  <si>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</si>
  <si>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</si>
  <si>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</si>
  <si>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</si>
  <si>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</si>
  <si>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</si>
  <si>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</si>
  <si>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</si>
  <si>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</si>
  <si>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</si>
  <si>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</si>
  <si>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</si>
  <si>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</si>
  <si>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</si>
  <si>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</si>
  <si>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</si>
  <si>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</si>
  <si>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</si>
  <si>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</si>
  <si>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</si>
  <si>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</si>
  <si>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</si>
  <si>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</si>
  <si>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</si>
  <si>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</si>
  <si>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</si>
  <si>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</si>
  <si>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</si>
  <si>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</si>
  <si>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</si>
  <si>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</si>
  <si>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</si>
  <si>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</si>
  <si>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</si>
  <si>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</si>
  <si>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</si>
  <si>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</si>
  <si>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</si>
  <si>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</si>
  <si>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</si>
  <si>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</si>
  <si>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</si>
  <si>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</si>
  <si>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</si>
  <si>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</si>
  <si>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</si>
  <si>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</si>
  <si>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</si>
  <si>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</si>
  <si>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</si>
  <si>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</si>
  <si>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</si>
  <si>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</si>
  <si>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</si>
  <si>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</si>
  <si>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</si>
  <si>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</si>
  <si>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</si>
  <si>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</si>
  <si>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</si>
  <si>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</si>
  <si>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</si>
  <si>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</si>
  <si>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</si>
  <si>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</si>
  <si>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</si>
  <si>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</si>
  <si>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</si>
  <si>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</si>
  <si>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</si>
  <si>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</si>
  <si>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</si>
  <si>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</si>
  <si>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</si>
  <si>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</si>
  <si>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</si>
  <si>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</si>
  <si>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</si>
  <si>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</si>
  <si>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</si>
  <si>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</si>
  <si>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</si>
  <si>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</si>
  <si>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</si>
  <si>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</si>
  <si>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</si>
  <si>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</si>
  <si>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</si>
  <si>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</si>
  <si>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</si>
  <si>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</si>
  <si>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</si>
  <si>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</si>
  <si>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</si>
  <si>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</si>
  <si>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</si>
  <si>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</si>
  <si>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</si>
  <si>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</si>
  <si>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</si>
  <si>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</si>
  <si>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</si>
  <si>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</si>
  <si>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</si>
  <si>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</si>
  <si>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</si>
  <si>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</si>
  <si>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</si>
  <si>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</si>
  <si>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</si>
  <si>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</si>
  <si>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</si>
  <si>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</si>
  <si>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</si>
  <si>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</si>
  <si>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</si>
  <si>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</si>
  <si>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</si>
  <si>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</si>
  <si>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</si>
  <si>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</si>
  <si>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</si>
  <si>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</si>
  <si>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</si>
  <si>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</si>
  <si>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</si>
  <si>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</si>
  <si>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</si>
  <si>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</si>
  <si>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</si>
  <si>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</si>
  <si>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</si>
  <si>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</si>
  <si>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</si>
  <si>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</si>
  <si>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</si>
  <si>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</si>
  <si>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</si>
  <si>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</si>
  <si>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</si>
  <si>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</si>
  <si>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</si>
  <si>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</si>
  <si>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</si>
  <si>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</si>
  <si>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</si>
  <si>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</si>
  <si>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</si>
  <si>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</si>
  <si>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</si>
  <si>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</si>
  <si>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</si>
  <si>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</si>
  <si>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</si>
  <si>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</si>
  <si>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</si>
  <si>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</si>
  <si>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</si>
  <si>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Bill Category</t>
  </si>
  <si>
    <t>Age Category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</si>
  <si>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</si>
  <si>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</si>
  <si>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</si>
  <si>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</si>
  <si>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Case</t>
  </si>
  <si>
    <t>Follow Up</t>
  </si>
  <si>
    <t>Dept</t>
  </si>
  <si>
    <t>Payment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</si>
</sst>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₹&quot;\ #,##0;[Red]&quot;₹&quot;\ \-#,##0"/>
    <numFmt numFmtId="165" formatCode="&quot;₹&quot;\ #,##0.00;[Red]&quot;₹&quot;\ \-#,##0.00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right" vertical="center" wrapText="1"/>
    </xf>
    <xf numFmtId="165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tabSelected="1" topLeftCell="C28" workbookViewId="0">
      <selection activeCell="F67" sqref="F67"/>
    </sheetView>
  </sheetViews>
  <sheetFormatPr defaultRowHeight="14.5" x14ac:dyDescent="0.35"/>
  <cols>
    <col min="1" max="1" width="10.08984375" customWidth="1"/>
    <col min="2" max="2" width="16.1796875" customWidth="1"/>
    <col min="5" max="5" width="56.08984375" bestFit="1" customWidth="1"/>
    <col min="6" max="6" width="15.90625" customWidth="1"/>
    <col min="7" max="7" width="18.36328125" customWidth="1"/>
    <col min="8" max="8" width="23" customWidth="1"/>
    <col min="9" max="9" width="16.6328125" customWidth="1"/>
    <col min="10" max="10" width="19.54296875" customWidth="1"/>
    <col min="11" max="11" width="16.90625" customWidth="1"/>
    <col min="12" max="12" width="18.453125" customWidth="1"/>
    <col min="13" max="13" width="16.453125" customWidth="1"/>
    <col min="14" max="14" width="15.453125" customWidth="1"/>
    <col min="15" max="15" width="14.81640625" customWidth="1"/>
    <col min="16" max="16" width="15.90625" customWidth="1"/>
    <col min="17" max="17" width="21" customWidth="1"/>
    <col min="18" max="18" width="17.36328125" customWidth="1"/>
    <col min="19" max="19" width="17.6328125" customWidth="1"/>
    <col min="20" max="20" width="18.08984375" customWidth="1"/>
    <col min="22" max="22" width="22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227</v>
      </c>
      <c r="O1" s="14" t="s">
        <v>222</v>
      </c>
      <c r="P1" s="14" t="s">
        <v>223</v>
      </c>
      <c r="Q1" s="14" t="s">
        <v>228</v>
      </c>
      <c r="R1" s="14" t="s">
        <v>229</v>
      </c>
      <c r="S1" s="14" t="s">
        <v>230</v>
      </c>
      <c r="T1" s="14" t="s">
        <v>231</v>
      </c>
    </row>
    <row r="2" spans="1:22" x14ac:dyDescent="0.35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 up","No Action")</f>
        <v>No Action</v>
      </c>
      <c r="O2" t="str">
        <f>IF(K2&gt;40000,"High Bill","Normal Bill")</f>
        <v>Normal Bill</v>
      </c>
      <c r="P2" t="str">
        <f>IF(C2&gt;=60,"Senior Citizen","Non Senior")</f>
        <v>Non Senior</v>
      </c>
      <c r="Q2" t="str">
        <f>IF(AND(K2&gt;40000,M2&gt;5),"High Billing Case","Normal Case")</f>
        <v>Normal Case</v>
      </c>
      <c r="R2" t="str">
        <f>IF(AND(L2="Pending",K2&gt;30000),"Urgent Followup","No Action")</f>
        <v>No Action</v>
      </c>
      <c r="S2" t="str">
        <f>IF(OR(E2="Cardiology",E2="Neurology"),"Priority Department","Regular Department")</f>
        <v>Priority Department</v>
      </c>
      <c r="T2" t="str">
        <f>IF(NOT(L2="Pending"),"Payment Completed","Not Completed")</f>
        <v>Payment Completed</v>
      </c>
      <c r="U2" t="str">
        <f>IF(K2&lt;15000,"Low",IF(AND(K2&gt;=15000,K2&lt;30000),"Medium",IF(AND(K2&gt;=30000,K2&lt;50000),"High","Very High")))</f>
        <v>Medium</v>
      </c>
      <c r="V2" t="str">
        <f>IF(AND(OR(E2="Cardiology",E2="Orthopedics"),K2&gt;30000),"Management Review","No Review")</f>
        <v>No Review</v>
      </c>
    </row>
    <row r="3" spans="1:22" x14ac:dyDescent="0.35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 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 Senior")</f>
        <v>Non Senior</v>
      </c>
      <c r="Q3" t="str">
        <f t="shared" ref="Q3:Q41" si="3">IF(AND(K3&gt;40000,M3&gt;5),"High Billing Case","Normal Case")</f>
        <v>High Billing Case</v>
      </c>
      <c r="R3" t="str">
        <f t="shared" ref="R3:R41" si="4">IF(AND(L3="Pending",K3&gt;30000),"Urgent Followup","No Action")</f>
        <v>No Action</v>
      </c>
      <c r="S3" t="str">
        <f t="shared" ref="S3:S41" si="5">IF(OR(E3="Cardiology",E3="Neurology"),"Priority Department","Regular Department")</f>
        <v>Regular Department</v>
      </c>
      <c r="T3" t="str">
        <f t="shared" ref="T3:T41" si="6">IF(NOT(L3="Pending"),"Payment Completed","Not Completed")</f>
        <v>Payment Completed</v>
      </c>
      <c r="U3" t="str">
        <f t="shared" ref="U3:U41" si="7">IF(K3&lt;15000,"Low",IF(AND(K3&gt;=15000,K3&lt;30000),"Medium",IF(AND(K3&gt;=30000,K3&lt;50000),"High","Very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 x14ac:dyDescent="0.35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 x14ac:dyDescent="0.35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 up</v>
      </c>
      <c r="O5" t="str">
        <f t="shared" si="1"/>
        <v>Normal Bill</v>
      </c>
      <c r="P5" t="str">
        <f t="shared" si="2"/>
        <v>Non Senior</v>
      </c>
      <c r="Q5" t="str">
        <f t="shared" si="3"/>
        <v>Normal Case</v>
      </c>
      <c r="R5" t="str">
        <f t="shared" si="4"/>
        <v>No Action</v>
      </c>
      <c r="S5" t="str">
        <f t="shared" si="5"/>
        <v>Priority Department</v>
      </c>
      <c r="T5" t="str">
        <f t="shared" si="6"/>
        <v>Not Completed</v>
      </c>
      <c r="U5" t="str">
        <f t="shared" si="7"/>
        <v>Medium</v>
      </c>
      <c r="V5" t="str">
        <f t="shared" si="8"/>
        <v>No Review</v>
      </c>
    </row>
    <row r="6" spans="1:22" x14ac:dyDescent="0.35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 x14ac:dyDescent="0.35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 x14ac:dyDescent="0.35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 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Followup</v>
      </c>
      <c r="S8" t="str">
        <f t="shared" si="5"/>
        <v>Priority Department</v>
      </c>
      <c r="T8" t="str">
        <f t="shared" si="6"/>
        <v>Not Completed</v>
      </c>
      <c r="U8" t="str">
        <f t="shared" si="7"/>
        <v>Very High</v>
      </c>
      <c r="V8" t="str">
        <f t="shared" si="8"/>
        <v>Management Review</v>
      </c>
    </row>
    <row r="9" spans="1:22" x14ac:dyDescent="0.35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 x14ac:dyDescent="0.35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 x14ac:dyDescent="0.35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 x14ac:dyDescent="0.35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Priority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 x14ac:dyDescent="0.35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 up</v>
      </c>
      <c r="O13" t="str">
        <f t="shared" si="1"/>
        <v>Normal Bill</v>
      </c>
      <c r="P13" t="str">
        <f t="shared" si="2"/>
        <v>Non Senior</v>
      </c>
      <c r="Q13" t="str">
        <f t="shared" si="3"/>
        <v>Normal Case</v>
      </c>
      <c r="R13" t="str">
        <f t="shared" si="4"/>
        <v>Urgent Followup</v>
      </c>
      <c r="S13" t="str">
        <f t="shared" si="5"/>
        <v>Priority Department</v>
      </c>
      <c r="T13" t="str">
        <f t="shared" si="6"/>
        <v>Not Completed</v>
      </c>
      <c r="U13" t="str">
        <f t="shared" si="7"/>
        <v>High</v>
      </c>
      <c r="V13" t="str">
        <f t="shared" si="8"/>
        <v>No Review</v>
      </c>
    </row>
    <row r="14" spans="1:22" x14ac:dyDescent="0.35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 x14ac:dyDescent="0.35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 x14ac:dyDescent="0.35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 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Followup</v>
      </c>
      <c r="S16" t="str">
        <f t="shared" si="5"/>
        <v>Priority Department</v>
      </c>
      <c r="T16" t="str">
        <f t="shared" si="6"/>
        <v>Not Completed</v>
      </c>
      <c r="U16" t="str">
        <f t="shared" si="7"/>
        <v>Very High</v>
      </c>
      <c r="V16" t="str">
        <f t="shared" si="8"/>
        <v>Management Review</v>
      </c>
    </row>
    <row r="17" spans="1:22" x14ac:dyDescent="0.35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 x14ac:dyDescent="0.35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 x14ac:dyDescent="0.35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 x14ac:dyDescent="0.35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 up</v>
      </c>
      <c r="O20" t="str">
        <f t="shared" si="1"/>
        <v>Normal Bill</v>
      </c>
      <c r="P20" t="str">
        <f t="shared" si="2"/>
        <v>Non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Not Completed</v>
      </c>
      <c r="U20" t="str">
        <f t="shared" si="7"/>
        <v>Low</v>
      </c>
      <c r="V20" t="str">
        <f t="shared" si="8"/>
        <v>No Review</v>
      </c>
    </row>
    <row r="21" spans="1:22" x14ac:dyDescent="0.35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 Senior</v>
      </c>
      <c r="Q21" t="str">
        <f t="shared" si="3"/>
        <v>Normal Case</v>
      </c>
      <c r="R21" t="str">
        <f t="shared" si="4"/>
        <v>No Action</v>
      </c>
      <c r="S21" t="str">
        <f t="shared" si="5"/>
        <v>Priority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 x14ac:dyDescent="0.35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 x14ac:dyDescent="0.35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 x14ac:dyDescent="0.35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 x14ac:dyDescent="0.35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 up</v>
      </c>
      <c r="O25" t="str">
        <f t="shared" si="1"/>
        <v>Normal Bill</v>
      </c>
      <c r="P25" t="str">
        <f t="shared" si="2"/>
        <v>Non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Not Completed</v>
      </c>
      <c r="U25" t="str">
        <f t="shared" si="7"/>
        <v>Medium</v>
      </c>
      <c r="V25" t="str">
        <f t="shared" si="8"/>
        <v>No Review</v>
      </c>
    </row>
    <row r="26" spans="1:22" x14ac:dyDescent="0.35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Priority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 x14ac:dyDescent="0.35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 x14ac:dyDescent="0.35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 up</v>
      </c>
      <c r="O28" t="str">
        <f t="shared" si="1"/>
        <v>Normal Bill</v>
      </c>
      <c r="P28" t="str">
        <f t="shared" si="2"/>
        <v>Non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Not Completed</v>
      </c>
      <c r="U28" t="str">
        <f>IF(K28&lt;15000,"Low",IF(AND(K28&gt;=15000,K28&lt;30000),"Medium",IF(AND(K28&gt;=30000,K28&lt;50000),"High","Very High")))</f>
        <v>Medium</v>
      </c>
      <c r="V28" t="str">
        <f t="shared" si="8"/>
        <v>No Review</v>
      </c>
    </row>
    <row r="29" spans="1:22" x14ac:dyDescent="0.35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 x14ac:dyDescent="0.35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 x14ac:dyDescent="0.35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 Senior</v>
      </c>
      <c r="Q31" t="str">
        <f t="shared" si="3"/>
        <v>Normal Case</v>
      </c>
      <c r="R31" t="str">
        <f t="shared" si="4"/>
        <v>No Action</v>
      </c>
      <c r="S31" t="str">
        <f t="shared" si="5"/>
        <v>Priority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 x14ac:dyDescent="0.35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>IF(L32="Pending","Follow up","No Action")</f>
        <v>No Action</v>
      </c>
      <c r="O32" t="str">
        <f t="shared" si="1"/>
        <v>Normal Bill</v>
      </c>
      <c r="P32" t="str">
        <f t="shared" si="2"/>
        <v>Non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 x14ac:dyDescent="0.35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 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Followup</v>
      </c>
      <c r="S33" t="str">
        <f t="shared" si="5"/>
        <v>Priority Department</v>
      </c>
      <c r="T33" t="str">
        <f t="shared" si="6"/>
        <v>Not Completed</v>
      </c>
      <c r="U33" t="str">
        <f t="shared" si="7"/>
        <v>High</v>
      </c>
      <c r="V33" t="str">
        <f t="shared" si="8"/>
        <v>No Review</v>
      </c>
    </row>
    <row r="34" spans="1:22" x14ac:dyDescent="0.35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 x14ac:dyDescent="0.35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 x14ac:dyDescent="0.35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 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Followup</v>
      </c>
      <c r="S36" t="str">
        <f t="shared" si="5"/>
        <v>Priority Department</v>
      </c>
      <c r="T36" t="str">
        <f t="shared" si="6"/>
        <v>Not Completed</v>
      </c>
      <c r="U36" t="str">
        <f t="shared" si="7"/>
        <v>High</v>
      </c>
      <c r="V36" t="str">
        <f t="shared" si="8"/>
        <v>Management Review</v>
      </c>
    </row>
    <row r="37" spans="1:22" x14ac:dyDescent="0.35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 x14ac:dyDescent="0.35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 x14ac:dyDescent="0.35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 x14ac:dyDescent="0.35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 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Not Completed</v>
      </c>
      <c r="U40" t="str">
        <f>IF(K40&lt;15000,"Low",IF(AND(K40&gt;=15000,K40&lt;30000),"Medium",IF(AND(K40&gt;=30000,K40&lt;50000),"High","Very High")))</f>
        <v>Low</v>
      </c>
      <c r="V40" t="str">
        <f t="shared" si="8"/>
        <v>No Review</v>
      </c>
    </row>
    <row r="41" spans="1:22" x14ac:dyDescent="0.35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Priority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7" spans="1:22" x14ac:dyDescent="0.35">
      <c r="E47" t="s">
        <v>123</v>
      </c>
      <c r="F47">
        <f>SUM(Bills)</f>
        <v>1019500</v>
      </c>
    </row>
    <row r="48" spans="1:22" x14ac:dyDescent="0.35">
      <c r="E48" t="s">
        <v>138</v>
      </c>
      <c r="F48">
        <f>SUMIF(Department,E41,Bills)</f>
        <v>443500</v>
      </c>
    </row>
    <row r="49" spans="5:6" x14ac:dyDescent="0.35">
      <c r="E49" t="s">
        <v>139</v>
      </c>
      <c r="F49">
        <f>COUNTIF(Department,E40)</f>
        <v>7</v>
      </c>
    </row>
    <row r="50" spans="5:6" x14ac:dyDescent="0.35">
      <c r="E50" t="s">
        <v>140</v>
      </c>
      <c r="F50">
        <f>AVERAGEIF(Department,E39,Bills)</f>
        <v>25571.428571428572</v>
      </c>
    </row>
    <row r="51" spans="5:6" x14ac:dyDescent="0.35">
      <c r="E51" t="s">
        <v>124</v>
      </c>
      <c r="F51">
        <f>SUMIF(Insurance,J40,Bills)</f>
        <v>499500</v>
      </c>
    </row>
    <row r="52" spans="5:6" x14ac:dyDescent="0.35">
      <c r="E52" t="s">
        <v>125</v>
      </c>
      <c r="F52">
        <f>COUNTIF(status,L40)</f>
        <v>10</v>
      </c>
    </row>
    <row r="53" spans="5:6" x14ac:dyDescent="0.35">
      <c r="E53" t="s">
        <v>126</v>
      </c>
      <c r="F53">
        <f>SUMIF(status,L40,Bills)</f>
        <v>344500</v>
      </c>
    </row>
    <row r="54" spans="5:6" x14ac:dyDescent="0.35">
      <c r="E54" t="s">
        <v>127</v>
      </c>
      <c r="F54">
        <f>SUMIFS(Bills,Department,E41,Insurance,J40)</f>
        <v>275500</v>
      </c>
    </row>
    <row r="55" spans="5:6" x14ac:dyDescent="0.35">
      <c r="E55" t="s">
        <v>128</v>
      </c>
      <c r="F55">
        <f>COUNTIFS(Department,E41,status,L40)</f>
        <v>4</v>
      </c>
    </row>
    <row r="56" spans="5:6" x14ac:dyDescent="0.35">
      <c r="E56" t="s">
        <v>129</v>
      </c>
      <c r="F56">
        <f>AVERAGEIF(Insurance,J34,Bills)</f>
        <v>25766.666666666668</v>
      </c>
    </row>
    <row r="57" spans="5:6" x14ac:dyDescent="0.35">
      <c r="E57" t="s">
        <v>130</v>
      </c>
      <c r="F57">
        <f>COUNTIF(Bills,"&gt;40000")</f>
        <v>9</v>
      </c>
    </row>
    <row r="58" spans="5:6" x14ac:dyDescent="0.35">
      <c r="E58" t="s">
        <v>131</v>
      </c>
      <c r="F58">
        <f>SUMIF(Bills,"&gt;40000",Bills)</f>
        <v>508000</v>
      </c>
    </row>
    <row r="59" spans="5:6" x14ac:dyDescent="0.35">
      <c r="E59" t="s">
        <v>132</v>
      </c>
      <c r="F59">
        <f>COUNTIF(stay,"&gt;5")</f>
        <v>11</v>
      </c>
    </row>
    <row r="60" spans="5:6" x14ac:dyDescent="0.35">
      <c r="E60" t="s">
        <v>133</v>
      </c>
      <c r="F60">
        <f>SUMIF(stay,"&gt;5",Bills)</f>
        <v>582000</v>
      </c>
    </row>
    <row r="61" spans="5:6" x14ac:dyDescent="0.35">
      <c r="E61" t="s">
        <v>134</v>
      </c>
      <c r="F61">
        <f>SUMIFS(Bills,Department,E41,stay,"&gt;5")</f>
        <v>320000</v>
      </c>
    </row>
    <row r="62" spans="5:6" x14ac:dyDescent="0.35">
      <c r="E62" t="s">
        <v>135</v>
      </c>
      <c r="F62">
        <f>AVERAGEIF(status,L28,stay)</f>
        <v>5.8</v>
      </c>
    </row>
    <row r="63" spans="5:6" x14ac:dyDescent="0.35">
      <c r="E63" t="s">
        <v>136</v>
      </c>
    </row>
    <row r="64" spans="5:6" x14ac:dyDescent="0.35">
      <c r="E64" t="s">
        <v>137</v>
      </c>
    </row>
    <row r="65" spans="5:6" x14ac:dyDescent="0.35">
      <c r="E65" t="s">
        <v>141</v>
      </c>
      <c r="F65">
        <f>COUNTIFS(Department,E41,status,L40)</f>
        <v>4</v>
      </c>
    </row>
    <row r="66" spans="5:6" x14ac:dyDescent="0.35">
      <c r="E66" t="s">
        <v>142</v>
      </c>
      <c r="F66">
        <f>AVERAGEIFS(Bills,Department,E41,Insurance,J40)</f>
        <v>55100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selection activeCell="B34" sqref="B34"/>
    </sheetView>
  </sheetViews>
  <sheetFormatPr defaultRowHeight="14.5" x14ac:dyDescent="0.35"/>
  <cols>
    <col min="1" max="1" width="98.08984375" customWidth="1"/>
    <col min="2" max="2" width="14" customWidth="1"/>
  </cols>
  <sheetData>
    <row r="1" spans="1:1" x14ac:dyDescent="0.35">
      <c r="A1" s="10" t="s">
        <v>186</v>
      </c>
    </row>
    <row r="2" spans="1:1" x14ac:dyDescent="0.35">
      <c r="A2" t="s">
        <v>187</v>
      </c>
    </row>
    <row r="3" spans="1:1" x14ac:dyDescent="0.35">
      <c r="A3" t="s">
        <v>188</v>
      </c>
    </row>
    <row r="5" spans="1:1" x14ac:dyDescent="0.35">
      <c r="A5" t="s">
        <v>189</v>
      </c>
    </row>
    <row r="6" spans="1:1" x14ac:dyDescent="0.35">
      <c r="A6" s="11" t="s">
        <v>190</v>
      </c>
    </row>
    <row r="7" spans="1:1" x14ac:dyDescent="0.35">
      <c r="A7" s="11" t="s">
        <v>191</v>
      </c>
    </row>
    <row r="9" spans="1:1" x14ac:dyDescent="0.35">
      <c r="A9" t="s">
        <v>192</v>
      </c>
    </row>
    <row r="10" spans="1:1" x14ac:dyDescent="0.35">
      <c r="A10" t="s">
        <v>194</v>
      </c>
    </row>
    <row r="11" spans="1:1" x14ac:dyDescent="0.35">
      <c r="A11" t="s">
        <v>193</v>
      </c>
    </row>
    <row r="12" spans="1:1" x14ac:dyDescent="0.35">
      <c r="A12" s="11"/>
    </row>
    <row r="13" spans="1:1" x14ac:dyDescent="0.35">
      <c r="A13" t="s">
        <v>195</v>
      </c>
    </row>
    <row r="14" spans="1:1" x14ac:dyDescent="0.35">
      <c r="A14" s="11" t="s">
        <v>196</v>
      </c>
    </row>
    <row r="15" spans="1:1" x14ac:dyDescent="0.35">
      <c r="A15" s="12" t="s">
        <v>197</v>
      </c>
    </row>
    <row r="16" spans="1:1" x14ac:dyDescent="0.35">
      <c r="A16" s="11" t="s">
        <v>198</v>
      </c>
    </row>
    <row r="18" spans="1:3" x14ac:dyDescent="0.35">
      <c r="A18" t="s">
        <v>199</v>
      </c>
    </row>
    <row r="19" spans="1:3" x14ac:dyDescent="0.35">
      <c r="A19" s="11" t="s">
        <v>200</v>
      </c>
    </row>
    <row r="20" spans="1:3" x14ac:dyDescent="0.35">
      <c r="A20" s="11" t="s">
        <v>197</v>
      </c>
    </row>
    <row r="21" spans="1:3" x14ac:dyDescent="0.35">
      <c r="A21" s="11" t="s">
        <v>201</v>
      </c>
    </row>
    <row r="23" spans="1:3" x14ac:dyDescent="0.35">
      <c r="A23" t="s">
        <v>202</v>
      </c>
    </row>
    <row r="24" spans="1:3" x14ac:dyDescent="0.35">
      <c r="A24" s="11" t="s">
        <v>203</v>
      </c>
    </row>
    <row r="25" spans="1:3" x14ac:dyDescent="0.35">
      <c r="A25" s="11" t="s">
        <v>204</v>
      </c>
    </row>
    <row r="27" spans="1:3" x14ac:dyDescent="0.35">
      <c r="A27" t="s">
        <v>205</v>
      </c>
    </row>
    <row r="28" spans="1:3" x14ac:dyDescent="0.35">
      <c r="A28" t="s">
        <v>206</v>
      </c>
    </row>
    <row r="29" spans="1:3" x14ac:dyDescent="0.35">
      <c r="A29" s="13"/>
    </row>
    <row r="30" spans="1:3" x14ac:dyDescent="0.35">
      <c r="A30" t="s">
        <v>207</v>
      </c>
      <c r="B30" s="4" t="s">
        <v>208</v>
      </c>
      <c r="C30" s="5" t="s">
        <v>209</v>
      </c>
    </row>
    <row r="31" spans="1:3" x14ac:dyDescent="0.35">
      <c r="B31" s="3" t="s">
        <v>210</v>
      </c>
      <c r="C31" s="6" t="s">
        <v>211</v>
      </c>
    </row>
    <row r="32" spans="1:3" x14ac:dyDescent="0.35">
      <c r="B32" s="3" t="s">
        <v>212</v>
      </c>
      <c r="C32" s="6" t="s">
        <v>213</v>
      </c>
    </row>
    <row r="33" spans="1:3" x14ac:dyDescent="0.35">
      <c r="A33" s="13"/>
      <c r="B33" s="3" t="s">
        <v>214</v>
      </c>
      <c r="C33" s="6" t="s">
        <v>215</v>
      </c>
    </row>
    <row r="34" spans="1:3" x14ac:dyDescent="0.35">
      <c r="B34" s="3" t="s">
        <v>216</v>
      </c>
      <c r="C34" s="6" t="s">
        <v>217</v>
      </c>
    </row>
    <row r="37" spans="1:3" x14ac:dyDescent="0.35">
      <c r="A37" t="s">
        <v>218</v>
      </c>
    </row>
    <row r="38" spans="1:3" x14ac:dyDescent="0.35">
      <c r="A38" s="11" t="s">
        <v>219</v>
      </c>
    </row>
    <row r="39" spans="1:3" x14ac:dyDescent="0.35">
      <c r="A39" s="11" t="s">
        <v>220</v>
      </c>
    </row>
    <row r="40" spans="1:3" x14ac:dyDescent="0.35">
      <c r="A40" t="s">
        <v>221</v>
      </c>
    </row>
    <row r="42" spans="1:3" x14ac:dyDescent="0.35">
      <c r="A42" t="s">
        <v>224</v>
      </c>
    </row>
    <row r="43" spans="1:3" x14ac:dyDescent="0.35">
      <c r="A43" s="11"/>
    </row>
    <row r="44" spans="1:3" x14ac:dyDescent="0.35">
      <c r="A44" s="11" t="s">
        <v>225</v>
      </c>
    </row>
    <row r="45" spans="1:3" x14ac:dyDescent="0.35">
      <c r="A45" s="12" t="s">
        <v>226</v>
      </c>
    </row>
    <row r="47" spans="1:3" x14ac:dyDescent="0.35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G21" sqref="G21"/>
    </sheetView>
  </sheetViews>
  <sheetFormatPr defaultRowHeight="14.5" x14ac:dyDescent="0.35"/>
  <cols>
    <col min="2" max="2" width="23.54296875" customWidth="1"/>
    <col min="3" max="3" width="17.1796875" customWidth="1"/>
    <col min="4" max="4" width="21.08984375" customWidth="1"/>
  </cols>
  <sheetData>
    <row r="1" spans="1:4" x14ac:dyDescent="0.35">
      <c r="A1" s="4" t="s">
        <v>143</v>
      </c>
      <c r="B1" s="5" t="s">
        <v>144</v>
      </c>
      <c r="C1" s="5" t="s">
        <v>145</v>
      </c>
      <c r="D1" s="4" t="s">
        <v>146</v>
      </c>
    </row>
    <row r="2" spans="1:4" x14ac:dyDescent="0.35">
      <c r="A2" s="3">
        <v>1</v>
      </c>
      <c r="B2" s="6" t="s">
        <v>147</v>
      </c>
      <c r="C2" s="7" t="s">
        <v>148</v>
      </c>
      <c r="D2" s="8">
        <v>1019500</v>
      </c>
    </row>
    <row r="3" spans="1:4" x14ac:dyDescent="0.35">
      <c r="A3" s="3">
        <v>2</v>
      </c>
      <c r="B3" s="6" t="s">
        <v>149</v>
      </c>
      <c r="C3" s="7" t="s">
        <v>150</v>
      </c>
      <c r="D3" s="8">
        <v>443500</v>
      </c>
    </row>
    <row r="4" spans="1:4" x14ac:dyDescent="0.35">
      <c r="A4" s="3">
        <v>2</v>
      </c>
      <c r="B4" s="6" t="s">
        <v>151</v>
      </c>
      <c r="C4" s="7" t="s">
        <v>150</v>
      </c>
      <c r="D4" s="8">
        <v>89500</v>
      </c>
    </row>
    <row r="5" spans="1:4" x14ac:dyDescent="0.35">
      <c r="A5" s="3">
        <v>2</v>
      </c>
      <c r="B5" s="6" t="s">
        <v>152</v>
      </c>
      <c r="C5" s="7" t="s">
        <v>150</v>
      </c>
      <c r="D5" s="8">
        <v>77500</v>
      </c>
    </row>
    <row r="6" spans="1:4" x14ac:dyDescent="0.35">
      <c r="A6" s="3">
        <v>2</v>
      </c>
      <c r="B6" s="6" t="s">
        <v>153</v>
      </c>
      <c r="C6" s="7" t="s">
        <v>150</v>
      </c>
      <c r="D6" s="8">
        <v>179000</v>
      </c>
    </row>
    <row r="7" spans="1:4" x14ac:dyDescent="0.35">
      <c r="A7" s="3">
        <v>2</v>
      </c>
      <c r="B7" s="6" t="s">
        <v>154</v>
      </c>
      <c r="C7" s="7" t="s">
        <v>150</v>
      </c>
      <c r="D7" s="8">
        <v>230000</v>
      </c>
    </row>
    <row r="8" spans="1:4" x14ac:dyDescent="0.35">
      <c r="A8" s="3">
        <v>3</v>
      </c>
      <c r="B8" s="6" t="s">
        <v>155</v>
      </c>
      <c r="C8" s="7" t="s">
        <v>156</v>
      </c>
      <c r="D8" s="4">
        <v>10</v>
      </c>
    </row>
    <row r="9" spans="1:4" x14ac:dyDescent="0.35">
      <c r="A9" s="3">
        <v>3</v>
      </c>
      <c r="B9" s="6" t="s">
        <v>157</v>
      </c>
      <c r="C9" s="7" t="s">
        <v>156</v>
      </c>
      <c r="D9" s="4">
        <v>7</v>
      </c>
    </row>
    <row r="10" spans="1:4" x14ac:dyDescent="0.35">
      <c r="A10" s="3">
        <v>3</v>
      </c>
      <c r="B10" s="6" t="s">
        <v>158</v>
      </c>
      <c r="C10" s="7" t="s">
        <v>156</v>
      </c>
      <c r="D10" s="4">
        <v>8</v>
      </c>
    </row>
    <row r="11" spans="1:4" x14ac:dyDescent="0.35">
      <c r="A11" s="3">
        <v>3</v>
      </c>
      <c r="B11" s="6" t="s">
        <v>159</v>
      </c>
      <c r="C11" s="7" t="s">
        <v>156</v>
      </c>
      <c r="D11" s="4">
        <v>7</v>
      </c>
    </row>
    <row r="12" spans="1:4" x14ac:dyDescent="0.35">
      <c r="A12" s="3">
        <v>3</v>
      </c>
      <c r="B12" s="6" t="s">
        <v>160</v>
      </c>
      <c r="C12" s="7" t="s">
        <v>156</v>
      </c>
      <c r="D12" s="4">
        <v>8</v>
      </c>
    </row>
    <row r="13" spans="1:4" x14ac:dyDescent="0.35">
      <c r="A13" s="3">
        <v>4</v>
      </c>
      <c r="B13" s="6" t="s">
        <v>161</v>
      </c>
      <c r="C13" s="7" t="s">
        <v>162</v>
      </c>
      <c r="D13" s="8">
        <v>44350</v>
      </c>
    </row>
    <row r="14" spans="1:4" x14ac:dyDescent="0.35">
      <c r="A14" s="3">
        <v>4</v>
      </c>
      <c r="B14" s="6" t="s">
        <v>163</v>
      </c>
      <c r="C14" s="7" t="s">
        <v>162</v>
      </c>
      <c r="D14" s="9">
        <v>12785.71</v>
      </c>
    </row>
    <row r="15" spans="1:4" x14ac:dyDescent="0.35">
      <c r="A15" s="3">
        <v>4</v>
      </c>
      <c r="B15" s="6" t="s">
        <v>164</v>
      </c>
      <c r="C15" s="7" t="s">
        <v>162</v>
      </c>
      <c r="D15" s="9">
        <v>9687.5</v>
      </c>
    </row>
    <row r="16" spans="1:4" x14ac:dyDescent="0.35">
      <c r="A16" s="3">
        <v>4</v>
      </c>
      <c r="B16" s="6" t="s">
        <v>165</v>
      </c>
      <c r="C16" s="7" t="s">
        <v>162</v>
      </c>
      <c r="D16" s="9">
        <v>25571.43</v>
      </c>
    </row>
    <row r="17" spans="1:4" x14ac:dyDescent="0.35">
      <c r="A17" s="3">
        <v>4</v>
      </c>
      <c r="B17" s="6" t="s">
        <v>166</v>
      </c>
      <c r="C17" s="7" t="s">
        <v>162</v>
      </c>
      <c r="D17" s="8">
        <v>28750</v>
      </c>
    </row>
    <row r="18" spans="1:4" x14ac:dyDescent="0.35">
      <c r="A18" s="3">
        <v>5</v>
      </c>
      <c r="B18" s="6" t="s">
        <v>167</v>
      </c>
      <c r="C18" s="7" t="s">
        <v>150</v>
      </c>
      <c r="D18" s="8">
        <v>499500</v>
      </c>
    </row>
    <row r="19" spans="1:4" x14ac:dyDescent="0.35">
      <c r="A19" s="3">
        <v>6</v>
      </c>
      <c r="B19" s="6" t="s">
        <v>168</v>
      </c>
      <c r="C19" s="7" t="s">
        <v>156</v>
      </c>
      <c r="D19" s="4">
        <v>10</v>
      </c>
    </row>
    <row r="20" spans="1:4" x14ac:dyDescent="0.35">
      <c r="A20" s="3">
        <v>7</v>
      </c>
      <c r="B20" s="6" t="s">
        <v>169</v>
      </c>
      <c r="C20" s="7" t="s">
        <v>150</v>
      </c>
      <c r="D20" s="8">
        <v>344500</v>
      </c>
    </row>
    <row r="21" spans="1:4" x14ac:dyDescent="0.35">
      <c r="A21" s="3">
        <v>8</v>
      </c>
      <c r="B21" s="6" t="s">
        <v>170</v>
      </c>
      <c r="C21" s="7" t="s">
        <v>171</v>
      </c>
      <c r="D21" s="8">
        <v>275500</v>
      </c>
    </row>
    <row r="22" spans="1:4" x14ac:dyDescent="0.35">
      <c r="A22" s="3">
        <v>9</v>
      </c>
      <c r="B22" s="6" t="s">
        <v>172</v>
      </c>
      <c r="C22" s="7" t="s">
        <v>173</v>
      </c>
      <c r="D22" s="4">
        <v>4</v>
      </c>
    </row>
    <row r="23" spans="1:4" x14ac:dyDescent="0.35">
      <c r="A23" s="3">
        <v>10</v>
      </c>
      <c r="B23" s="6" t="s">
        <v>174</v>
      </c>
      <c r="C23" s="7" t="s">
        <v>162</v>
      </c>
      <c r="D23" s="9">
        <v>25766.67</v>
      </c>
    </row>
    <row r="24" spans="1:4" x14ac:dyDescent="0.35">
      <c r="A24" s="3">
        <v>11</v>
      </c>
      <c r="B24" s="6" t="s">
        <v>175</v>
      </c>
      <c r="C24" s="7" t="s">
        <v>156</v>
      </c>
      <c r="D24" s="4">
        <v>9</v>
      </c>
    </row>
    <row r="25" spans="1:4" x14ac:dyDescent="0.35">
      <c r="A25" s="3">
        <v>12</v>
      </c>
      <c r="B25" s="6" t="s">
        <v>176</v>
      </c>
      <c r="C25" s="7" t="s">
        <v>150</v>
      </c>
      <c r="D25" s="8">
        <v>508000</v>
      </c>
    </row>
    <row r="26" spans="1:4" x14ac:dyDescent="0.35">
      <c r="A26" s="3">
        <v>13</v>
      </c>
      <c r="B26" s="6" t="s">
        <v>177</v>
      </c>
      <c r="C26" s="7" t="s">
        <v>156</v>
      </c>
      <c r="D26" s="4">
        <v>11</v>
      </c>
    </row>
    <row r="27" spans="1:4" x14ac:dyDescent="0.35">
      <c r="A27" s="3">
        <v>14</v>
      </c>
      <c r="B27" s="6" t="s">
        <v>178</v>
      </c>
      <c r="C27" s="7" t="s">
        <v>150</v>
      </c>
      <c r="D27" s="8">
        <v>582000</v>
      </c>
    </row>
    <row r="28" spans="1:4" x14ac:dyDescent="0.35">
      <c r="A28" s="3">
        <v>15</v>
      </c>
      <c r="B28" s="6" t="s">
        <v>179</v>
      </c>
      <c r="C28" s="7" t="s">
        <v>171</v>
      </c>
      <c r="D28" s="8">
        <v>320000</v>
      </c>
    </row>
    <row r="29" spans="1:4" ht="29" x14ac:dyDescent="0.35">
      <c r="A29" s="3">
        <v>16</v>
      </c>
      <c r="B29" s="6" t="s">
        <v>180</v>
      </c>
      <c r="C29" s="7" t="s">
        <v>162</v>
      </c>
      <c r="D29" s="4" t="s">
        <v>181</v>
      </c>
    </row>
    <row r="30" spans="1:4" x14ac:dyDescent="0.35">
      <c r="A30" s="3">
        <v>17</v>
      </c>
      <c r="B30" s="6" t="s">
        <v>182</v>
      </c>
      <c r="C30" s="7" t="s">
        <v>183</v>
      </c>
      <c r="D30" s="8">
        <v>76000</v>
      </c>
    </row>
    <row r="31" spans="1:4" x14ac:dyDescent="0.35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Patient_Data</vt:lpstr>
      <vt:lpstr>Questions</vt:lpstr>
      <vt:lpstr>Answers</vt:lpstr>
      <vt:lpstr>Bills</vt:lpstr>
      <vt:lpstr>Department</vt:lpstr>
      <vt:lpstr>Insurance</vt:lpstr>
      <vt:lpstr>status</vt:lpstr>
      <vt:lpstr>stay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DELL</cp:lastModifiedBy>
  <dcterms:created xsi:type="dcterms:W3CDTF">2026-09-09T05:55:57Z</dcterms:created>
  <dcterms:modified xsi:type="dcterms:W3CDTF">2026-09-23T16:29:41Z</dcterms:modified>
</cp:coreProperties>
</file>