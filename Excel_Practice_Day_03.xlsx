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8b4505378d7763/Desktop/Codegnan Excel Practice/"/>
    </mc:Choice>
  </mc:AlternateContent>
  <xr:revisionPtr revIDLastSave="19" documentId="8_{E0F28121-1C79-4240-84FC-B6F105CEFE73}" xr6:coauthVersionLast="47" xr6:coauthVersionMax="47" xr10:uidLastSave="{AB243CE7-72A1-4754-AB19-75C05FDCC5DD}"/>
  <bookViews>
    <workbookView minimized="1" xWindow="5760" yWindow="3360" windowWidth="17280" windowHeight="8880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9" i="1" l="1"/>
  <c r="K50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G53" i="1"/>
  <c r="G52" i="1"/>
  <c r="G51" i="1"/>
  <c r="G50" i="1"/>
  <c r="G49" i="1"/>
  <c r="G48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2" i="1" a="1"/>
  <c r="U2" i="1" s="1"/>
  <c r="U3" i="1" a="1"/>
  <c r="U3" i="1" s="1"/>
  <c r="U4" i="1" a="1"/>
  <c r="U4" i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/>
  <c r="U41" i="1" a="1"/>
  <c r="U41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3" i="1"/>
  <c r="O4" i="1"/>
  <c r="O5" i="1"/>
  <c r="O6" i="1"/>
  <c r="O7" i="1"/>
  <c r="O8" i="1"/>
  <c r="O9" i="1"/>
  <c r="O10" i="1"/>
  <c r="O11" i="1"/>
  <c r="O12" i="1"/>
  <c r="O1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  <c r="G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<sst xmlns="http://schemas.openxmlformats.org/spreadsheetml/2006/main" count="472" uniqueCount="237">
  <si>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</si>
  <si>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</si>
  <si>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</si>
  <si>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</si>
  <si>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</si>
  <si>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</si>
  <si>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</si>
  <si>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</si>
  <si>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</si>
  <si>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</si>
  <si>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</si>
  <si>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</si>
  <si>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</si>
  <si>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</si>
  <si>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</si>
  <si>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</si>
  <si>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</si>
  <si>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</si>
  <si>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</si>
  <si>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</si>
  <si>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</si>
  <si>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</si>
  <si>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</si>
  <si>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</si>
  <si>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</si>
  <si>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</si>
  <si>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</si>
  <si>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</si>
  <si>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</si>
  <si>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</si>
  <si>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</si>
  <si>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</si>
  <si>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</si>
  <si>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</si>
  <si>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</si>
  <si>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</si>
  <si>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</si>
  <si>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</si>
  <si>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</si>
  <si>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</si>
  <si>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</si>
  <si>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</si>
  <si>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</si>
  <si>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</si>
  <si>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</si>
  <si>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</si>
  <si>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</si>
  <si>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</si>
  <si>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</si>
  <si>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</si>
  <si>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</si>
  <si>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</si>
  <si>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</si>
  <si>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</si>
  <si>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</si>
  <si>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</si>
  <si>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</si>
  <si>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</si>
  <si>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</si>
  <si>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</si>
  <si>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</si>
  <si>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</si>
  <si>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</si>
  <si>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</si>
  <si>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</si>
  <si>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</si>
  <si>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</si>
  <si>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</si>
  <si>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</si>
  <si>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</si>
  <si>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</si>
  <si>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</si>
  <si>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</si>
  <si>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</si>
  <si>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</si>
  <si>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</si>
  <si>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</si>
  <si>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</si>
  <si>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</si>
  <si>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</si>
  <si>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</si>
  <si>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</si>
  <si>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</si>
  <si>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</si>
  <si>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</si>
  <si>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</si>
  <si>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</si>
  <si>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</si>
  <si>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</si>
  <si>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</si>
  <si>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</si>
  <si>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</si>
  <si>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</si>
  <si>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</si>
  <si>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</si>
  <si>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</si>
  <si>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</si>
  <si>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</si>
  <si>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</si>
  <si>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</si>
  <si>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</si>
  <si>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</si>
  <si>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</si>
  <si>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</si>
  <si>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</si>
  <si>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</si>
  <si>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</si>
  <si>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</si>
  <si>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</si>
  <si>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</si>
  <si>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</si>
  <si>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</si>
  <si>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</si>
  <si>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</si>
  <si>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</si>
  <si>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</si>
  <si>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</si>
  <si>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</si>
  <si>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</si>
  <si>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</si>
  <si>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</si>
  <si>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</si>
  <si>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</si>
  <si>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</si>
  <si>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</si>
  <si>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</si>
  <si>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</si>
  <si>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</si>
  <si>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</si>
  <si>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</si>
  <si>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</si>
  <si>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</si>
  <si>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</si>
  <si>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</si>
  <si>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</si>
  <si>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</si>
  <si>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</si>
  <si>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</si>
  <si>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</si>
  <si>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</si>
  <si>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</si>
  <si>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</si>
  <si>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</si>
  <si>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</si>
  <si>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</si>
  <si>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</si>
  <si>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</si>
  <si>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</si>
  <si>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</si>
  <si>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</si>
  <si>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</si>
  <si>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</si>
  <si>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</si>
  <si>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</si>
  <si>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</si>
  <si>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</si>
  <si>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</si>
  <si>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</si>
  <si>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</si>
  <si>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</si>
  <si>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</si>
  <si>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</si>
  <si>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</si>
  <si>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</si>
  <si>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</si>
  <si>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</si>
  <si>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</si>
  <si>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</si>
  <si>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</si>
  <si>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</si>
  <si>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</si>
  <si>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</si>
  <si>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</si>
  <si>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</si>
  <si>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</si>
  <si>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</si>
  <si>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</si>
  <si>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</si>
  <si>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</si>
  <si>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</si>
  <si>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</si>
  <si>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</si>
  <si>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</si>
  <si>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</si>
  <si>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</si>
  <si>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</si>
  <si>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</si>
  <si>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</si>
  <si>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</si>
  <si>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</si>
  <si>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</si>
  <si>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</si>
  <si>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</si>
  <si>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</si>
  <si>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</si>
  <si>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</si>
  <si>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</si>
  <si>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</si>
  <si>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</si>
  <si>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</si>
  <si>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</si>
  <si>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</si>
  <si>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</si>
  <si>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</si>
  <si>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</si>
  <si>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</si>
  <si>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</si>
  <si>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</si>
  <si>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</si>
  <si>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</si>
  <si>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</si>
  <si>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</si>
  <si>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</si>
  <si>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</si>
  <si>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</si>
  <si>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</si>
  <si>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</si>
  <si>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</si>
  <si>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</si>
  <si>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</si>
  <si>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</si>
  <si>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</si>
  <si>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</si>
  <si>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</si>
  <si>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</si>
  <si>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</si>
  <si>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</si>
  <si>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</si>
  <si>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</si>
  <si>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 xml:space="preserve">Follow-up </t>
  </si>
  <si>
    <t>Dept Priority</t>
  </si>
  <si>
    <t xml:space="preserve">Status Payment </t>
  </si>
  <si>
    <t>Bill Category using SWITCH</t>
  </si>
  <si>
    <t>Bill Category using NESTEDIF</t>
  </si>
  <si>
    <t>Financial Risk</t>
  </si>
  <si>
    <t>Management Review</t>
  </si>
  <si>
    <t>"female"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</si>
</sst>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8" formatCode="&quot;₹&quot;\ #,##0.00;[Red]&quot;₹&quot;\ \-#,##0.00"/>
    <numFmt numFmtId="164" formatCode="yyyy\-mm\-dd\ hh:mm:ss"/>
    <numFmt numFmtId="165" formatCode="&quot;₹&quot;\ #,##0.00"/>
    <numFmt numFmtId="166" formatCode="&quot;₹&quot;\ 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/>
    <xf numFmtId="0" fontId="0" fillId="3" borderId="3" xfId="0" applyFill="1" applyBorder="1"/>
    <xf numFmtId="0" fontId="0" fillId="3" borderId="4" xfId="0" applyFill="1" applyBorder="1"/>
    <xf numFmtId="164" fontId="0" fillId="3" borderId="4" xfId="0" applyNumberFormat="1" applyFill="1" applyBorder="1"/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164" fontId="0" fillId="4" borderId="7" xfId="0" applyNumberFormat="1" applyFill="1" applyBorder="1"/>
    <xf numFmtId="0" fontId="0" fillId="4" borderId="7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164" fontId="0" fillId="3" borderId="7" xfId="0" applyNumberFormat="1" applyFill="1" applyBorder="1"/>
    <xf numFmtId="0" fontId="0" fillId="3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5EFE936-D7FE-421F-8FA2-9F6EBC50FEF9}">
  <we:reference id="wa200005271" version="2.4.4.0" store="en-US" storeType="OMEX"/>
  <we:alternateReferences>
    <we:reference id="wa200005271" version="2.4.4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B4E55D2-BED8-45C4-BCE3-A37C2D108A44}">
  <we:reference id="wa104381071" version="2.0.0.0" store="en-US" storeType="OMEX"/>
  <we:alternateReferences>
    <we:reference id="WA104381071" version="2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6"/>
  <sheetViews>
    <sheetView tabSelected="1" topLeftCell="I1" zoomScale="75" workbookViewId="0">
      <selection activeCell="AC8" sqref="AC8"/>
    </sheetView>
  </sheetViews>
  <sheetFormatPr defaultRowHeight="14.4"/>
  <cols>
    <col min="1" max="1" width="11.6640625" customWidth="1"/>
    <col min="2" max="2" width="16.21875" customWidth="1"/>
    <col min="4" max="4" width="9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21.6640625" bestFit="1" customWidth="1"/>
    <col min="19" max="19" width="17.6640625" customWidth="1"/>
    <col min="20" max="20" width="18.109375" customWidth="1"/>
    <col min="21" max="21" width="25.33203125" customWidth="1"/>
    <col min="22" max="22" width="26.6640625" customWidth="1"/>
    <col min="23" max="23" width="15.6640625" bestFit="1" customWidth="1"/>
    <col min="24" max="24" width="20.6640625" customWidth="1"/>
  </cols>
  <sheetData>
    <row r="1" spans="1:26" ht="15" thickBo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227</v>
      </c>
      <c r="O1" s="16" t="s">
        <v>222</v>
      </c>
      <c r="P1" s="16" t="s">
        <v>223</v>
      </c>
      <c r="Q1" s="16" t="s">
        <v>228</v>
      </c>
      <c r="R1" s="16" t="s">
        <v>229</v>
      </c>
      <c r="S1" s="16" t="s">
        <v>230</v>
      </c>
      <c r="T1" s="16" t="s">
        <v>231</v>
      </c>
      <c r="U1" s="16" t="s">
        <v>232</v>
      </c>
      <c r="V1" s="17" t="s">
        <v>233</v>
      </c>
      <c r="W1" s="16" t="s">
        <v>234</v>
      </c>
      <c r="X1" s="16" t="s">
        <v>235</v>
      </c>
    </row>
    <row r="2" spans="1:26" ht="15" thickTop="1">
      <c r="A2" s="18" t="s">
        <v>13</v>
      </c>
      <c r="B2" s="19" t="s">
        <v>53</v>
      </c>
      <c r="C2" s="19">
        <v>34</v>
      </c>
      <c r="D2" s="19" t="s">
        <v>93</v>
      </c>
      <c r="E2" s="19" t="s">
        <v>95</v>
      </c>
      <c r="F2" s="19" t="s">
        <v>100</v>
      </c>
      <c r="G2" s="20">
        <v>46027</v>
      </c>
      <c r="H2" s="20">
        <v>46030</v>
      </c>
      <c r="I2" s="19" t="s">
        <v>113</v>
      </c>
      <c r="J2" s="19" t="s">
        <v>118</v>
      </c>
      <c r="K2" s="19">
        <v>18500</v>
      </c>
      <c r="L2" s="19" t="s">
        <v>121</v>
      </c>
      <c r="M2" s="19">
        <v>3</v>
      </c>
      <c r="N2" s="21" t="str">
        <f>IF(L2="Pending","follow Up","No Action")</f>
        <v>No Action</v>
      </c>
      <c r="O2" s="21" t="str">
        <f>IF(K2&gt;40000,"high Bill","Normal Bill")</f>
        <v>Normal Bill</v>
      </c>
      <c r="P2" s="21" t="str">
        <f t="shared" ref="P2:P41" si="0">IF(C2&gt;=60,"Senior Citizen","Non- Senior")</f>
        <v>Non- Senior</v>
      </c>
      <c r="Q2" s="21" t="str">
        <f>IF(AND(K2&gt;40000,M2&gt;5),"High Billing Case","Not a High Billing Case")</f>
        <v>Not a High Billing Case</v>
      </c>
      <c r="R2" s="22" t="str">
        <f>IF(AND(Patient_Data!L2="Pending",Patient_Data!K2&gt;30000),"Urgent Patient Follow-up","Follow-up not Required")</f>
        <v>Follow-up not Required</v>
      </c>
      <c r="S2" s="21" t="str">
        <f>IF(OR(Patient_Data!E2="Cardiology",Patient_Data!E2="Neurology"),"Priority Dept","RegularDept")</f>
        <v>Priority Dept</v>
      </c>
      <c r="T2" s="21" t="str">
        <f>IF(NOT(Patient_Data!L2="pending"),"Payment Completed","Payment Pending")</f>
        <v>Payment Completed</v>
      </c>
      <c r="U2" s="22" t="str" cm="1">
        <f t="array" ref="U2">_xlfn.SWITCH(TRUE,K2&gt;=50000,"Very High",K2&gt;=30000,"High",K2&gt;=15000,"Medium",K2&lt;15000,"Low")</f>
        <v>Medium</v>
      </c>
      <c r="V2" s="21" t="str">
        <f>IF(K2&gt;=50000,"VH",IF(K2&gt;=30000,"High",IF(K2&gt;=15000,"medium","Low")))</f>
        <v>medium</v>
      </c>
      <c r="W2" s="21" t="str">
        <f>IF(AND(Patient_Data!K2&gt;40000,Patient_Data!L2="Pending"),"high Financial Risk","Normal")</f>
        <v>Normal</v>
      </c>
      <c r="X2" s="21" t="str">
        <f t="shared" ref="X2:X41" si="1">IF(AND(K2&gt;30000,OR(E2="Cardiology",E2="Orthopedics")),"MR","No Review")</f>
        <v>No Review</v>
      </c>
    </row>
    <row r="3" spans="1:26">
      <c r="A3" s="23" t="s">
        <v>14</v>
      </c>
      <c r="B3" s="24" t="s">
        <v>54</v>
      </c>
      <c r="C3" s="24">
        <v>52</v>
      </c>
      <c r="D3" s="24" t="s">
        <v>94</v>
      </c>
      <c r="E3" s="24" t="s">
        <v>96</v>
      </c>
      <c r="F3" s="24" t="s">
        <v>101</v>
      </c>
      <c r="G3" s="25">
        <v>46029</v>
      </c>
      <c r="H3" s="25">
        <v>46037</v>
      </c>
      <c r="I3" s="24" t="s">
        <v>114</v>
      </c>
      <c r="J3" s="24" t="s">
        <v>119</v>
      </c>
      <c r="K3" s="24">
        <v>42000</v>
      </c>
      <c r="L3" s="24" t="s">
        <v>121</v>
      </c>
      <c r="M3" s="24">
        <v>8</v>
      </c>
      <c r="N3" s="26" t="str">
        <f t="shared" ref="N3:N41" si="2">IF(L3="Pending","follow Up","No Action")</f>
        <v>No Action</v>
      </c>
      <c r="O3" s="26" t="str">
        <f t="shared" ref="O3:O41" si="3">IF(K3&gt;40000,"high Bill","Normal Bill")</f>
        <v>high Bill</v>
      </c>
      <c r="P3" s="26" t="str">
        <f t="shared" si="0"/>
        <v>Non- Senior</v>
      </c>
      <c r="Q3" s="26" t="str">
        <f t="shared" ref="Q3:Q41" si="4">IF(AND(K3&gt;40000,M3&gt;5),"High Billing Case","Not a High Billing Case")</f>
        <v>High Billing Case</v>
      </c>
      <c r="R3" s="24" t="str">
        <f>IF(AND(Patient_Data!L3="Pending",Patient_Data!K3&gt;30000),"Urgent Patient Follow-up","Follow-up not Required")</f>
        <v>Follow-up not Required</v>
      </c>
      <c r="S3" s="26" t="str">
        <f>IF(OR(Patient_Data!E3="Cardiology",Patient_Data!E3="Neurology"),"Priority Dept","RegularDept")</f>
        <v>RegularDept</v>
      </c>
      <c r="T3" s="26" t="str">
        <f>IF(NOT(Patient_Data!L3="pending"),"Payment Completed","Payment Pending")</f>
        <v>Payment Completed</v>
      </c>
      <c r="U3" s="24" t="str" cm="1">
        <f t="array" ref="U3">_xlfn.SWITCH(TRUE,K3&gt;=50000,"VH",K3&gt;=30000,"High",K3&gt;=15000,"Medium",K3&lt;15000,"Low")</f>
        <v>High</v>
      </c>
      <c r="V3" s="26" t="str">
        <f t="shared" ref="V3:V41" si="5">IF(K3&gt;=50000,"VH",IF(K3&gt;=30000,"High",IF(K3&gt;=15000,"medium","Low")))</f>
        <v>High</v>
      </c>
      <c r="W3" s="26" t="str">
        <f>IF(AND(Patient_Data!K3&gt;40000,Patient_Data!L3="Pending"),"high Financial Risk","Normal")</f>
        <v>Normal</v>
      </c>
      <c r="X3" s="26" t="str">
        <f t="shared" si="1"/>
        <v>MR</v>
      </c>
    </row>
    <row r="4" spans="1:26">
      <c r="A4" s="27" t="s">
        <v>15</v>
      </c>
      <c r="B4" s="28" t="s">
        <v>55</v>
      </c>
      <c r="C4" s="28">
        <v>28</v>
      </c>
      <c r="D4" s="28" t="s">
        <v>93</v>
      </c>
      <c r="E4" s="28" t="s">
        <v>97</v>
      </c>
      <c r="F4" s="28" t="s">
        <v>102</v>
      </c>
      <c r="G4" s="29">
        <v>46032</v>
      </c>
      <c r="H4" s="29">
        <v>46035</v>
      </c>
      <c r="I4" s="28" t="s">
        <v>115</v>
      </c>
      <c r="J4" s="28" t="s">
        <v>118</v>
      </c>
      <c r="K4" s="28">
        <v>12000</v>
      </c>
      <c r="L4" s="28" t="s">
        <v>121</v>
      </c>
      <c r="M4" s="28">
        <v>3</v>
      </c>
      <c r="N4" s="30" t="str">
        <f t="shared" si="2"/>
        <v>No Action</v>
      </c>
      <c r="O4" s="30" t="str">
        <f t="shared" si="3"/>
        <v>Normal Bill</v>
      </c>
      <c r="P4" s="30" t="str">
        <f t="shared" si="0"/>
        <v>Non- Senior</v>
      </c>
      <c r="Q4" s="30" t="str">
        <f t="shared" si="4"/>
        <v>Not a High Billing Case</v>
      </c>
      <c r="R4" s="28" t="str">
        <f>IF(AND(Patient_Data!L4="Pending",Patient_Data!K4&gt;30000),"Urgent Patient Follow-up","Follow-up not Required")</f>
        <v>Follow-up not Required</v>
      </c>
      <c r="S4" s="30" t="str">
        <f>IF(OR(Patient_Data!E4="Cardiology",Patient_Data!E4="Neurology"),"Priority Dept","RegularDept")</f>
        <v>RegularDept</v>
      </c>
      <c r="T4" s="30" t="str">
        <f>IF(NOT(Patient_Data!L4="pending"),"Payment Completed","Payment Pending")</f>
        <v>Payment Completed</v>
      </c>
      <c r="U4" s="28" t="str" cm="1">
        <f t="array" ref="U4">_xlfn.SWITCH(TRUE,K4&gt;=50000,"VH",K4&gt;=30000,"High",K4&gt;=15000,"Medium",K4&lt;15000,"Low")</f>
        <v>Low</v>
      </c>
      <c r="V4" s="30" t="str">
        <f t="shared" si="5"/>
        <v>Low</v>
      </c>
      <c r="W4" s="30" t="str">
        <f>IF(AND(Patient_Data!K4&gt;40000,Patient_Data!L4="Pending"),"high Financial Risk","Normal")</f>
        <v>Normal</v>
      </c>
      <c r="X4" s="30" t="str">
        <f t="shared" si="1"/>
        <v>No Review</v>
      </c>
    </row>
    <row r="5" spans="1:26">
      <c r="A5" s="23" t="s">
        <v>16</v>
      </c>
      <c r="B5" s="24" t="s">
        <v>56</v>
      </c>
      <c r="C5" s="24">
        <v>45</v>
      </c>
      <c r="D5" s="24" t="s">
        <v>94</v>
      </c>
      <c r="E5" s="24" t="s">
        <v>95</v>
      </c>
      <c r="F5" s="24" t="s">
        <v>103</v>
      </c>
      <c r="G5" s="25">
        <v>46034</v>
      </c>
      <c r="H5" s="25">
        <v>46039</v>
      </c>
      <c r="I5" s="24" t="s">
        <v>113</v>
      </c>
      <c r="J5" s="24" t="s">
        <v>120</v>
      </c>
      <c r="K5" s="24">
        <v>27500</v>
      </c>
      <c r="L5" s="24" t="s">
        <v>122</v>
      </c>
      <c r="M5" s="24">
        <v>5</v>
      </c>
      <c r="N5" s="26" t="str">
        <f t="shared" si="2"/>
        <v>follow Up</v>
      </c>
      <c r="O5" s="26" t="str">
        <f t="shared" si="3"/>
        <v>Normal Bill</v>
      </c>
      <c r="P5" s="26" t="str">
        <f t="shared" si="0"/>
        <v>Non- Senior</v>
      </c>
      <c r="Q5" s="26" t="str">
        <f t="shared" si="4"/>
        <v>Not a High Billing Case</v>
      </c>
      <c r="R5" s="24" t="str">
        <f>IF(AND(Patient_Data!L5="Pending",Patient_Data!K5&gt;30000),"Urgent Patient Follow-up","Follow-up not Required")</f>
        <v>Follow-up not Required</v>
      </c>
      <c r="S5" s="26" t="str">
        <f>IF(OR(Patient_Data!E5="Cardiology",Patient_Data!E5="Neurology"),"Priority Dept","RegularDept")</f>
        <v>Priority Dept</v>
      </c>
      <c r="T5" s="26" t="str">
        <f>IF(NOT(Patient_Data!L5="pending"),"Payment Completed","Payment Pending")</f>
        <v>Payment Pending</v>
      </c>
      <c r="U5" s="24" t="str" cm="1">
        <f t="array" ref="U5">_xlfn.SWITCH(TRUE,K5&gt;=50000,"VH",K5&gt;=30000,"High",K5&gt;=15000,"Medium",K5&lt;15000,"Low")</f>
        <v>Medium</v>
      </c>
      <c r="V5" s="26" t="str">
        <f t="shared" si="5"/>
        <v>medium</v>
      </c>
      <c r="W5" s="26" t="str">
        <f>IF(AND(Patient_Data!K5&gt;40000,Patient_Data!L5="Pending"),"high Financial Risk","Normal")</f>
        <v>Normal</v>
      </c>
      <c r="X5" s="26" t="str">
        <f t="shared" si="1"/>
        <v>No Review</v>
      </c>
    </row>
    <row r="6" spans="1:26">
      <c r="A6" s="27" t="s">
        <v>17</v>
      </c>
      <c r="B6" s="28" t="s">
        <v>57</v>
      </c>
      <c r="C6" s="28">
        <v>67</v>
      </c>
      <c r="D6" s="28" t="s">
        <v>93</v>
      </c>
      <c r="E6" s="28" t="s">
        <v>98</v>
      </c>
      <c r="F6" s="28" t="s">
        <v>104</v>
      </c>
      <c r="G6" s="29">
        <v>46037</v>
      </c>
      <c r="H6" s="29">
        <v>46040</v>
      </c>
      <c r="I6" s="28" t="s">
        <v>116</v>
      </c>
      <c r="J6" s="28" t="s">
        <v>119</v>
      </c>
      <c r="K6" s="28">
        <v>16000</v>
      </c>
      <c r="L6" s="28" t="s">
        <v>121</v>
      </c>
      <c r="M6" s="28">
        <v>3</v>
      </c>
      <c r="N6" s="30" t="str">
        <f t="shared" si="2"/>
        <v>No Action</v>
      </c>
      <c r="O6" s="30" t="str">
        <f t="shared" si="3"/>
        <v>Normal Bill</v>
      </c>
      <c r="P6" s="30" t="str">
        <f t="shared" si="0"/>
        <v>Senior Citizen</v>
      </c>
      <c r="Q6" s="30" t="str">
        <f t="shared" si="4"/>
        <v>Not a High Billing Case</v>
      </c>
      <c r="R6" s="28" t="str">
        <f>IF(AND(Patient_Data!L6="Pending",Patient_Data!K6&gt;30000),"Urgent Patient Follow-up","Follow-up not Required")</f>
        <v>Follow-up not Required</v>
      </c>
      <c r="S6" s="30" t="str">
        <f>IF(OR(Patient_Data!E6="Cardiology",Patient_Data!E6="Neurology"),"Priority Dept","RegularDept")</f>
        <v>Priority Dept</v>
      </c>
      <c r="T6" s="30" t="str">
        <f>IF(NOT(Patient_Data!L6="pending"),"Payment Completed","Payment Pending")</f>
        <v>Payment Completed</v>
      </c>
      <c r="U6" s="28" t="str" cm="1">
        <f t="array" ref="U6">_xlfn.SWITCH(TRUE,K6&gt;=50000,"VH",K6&gt;=30000,"High",K6&gt;=15000,"Medium",K6&lt;15000,"Low")</f>
        <v>Medium</v>
      </c>
      <c r="V6" s="30" t="str">
        <f t="shared" si="5"/>
        <v>medium</v>
      </c>
      <c r="W6" s="30" t="str">
        <f>IF(AND(Patient_Data!K6&gt;40000,Patient_Data!L6="Pending"),"high Financial Risk","Normal")</f>
        <v>Normal</v>
      </c>
      <c r="X6" s="30" t="str">
        <f t="shared" si="1"/>
        <v>No Review</v>
      </c>
    </row>
    <row r="7" spans="1:26">
      <c r="A7" s="23" t="s">
        <v>18</v>
      </c>
      <c r="B7" s="24" t="s">
        <v>58</v>
      </c>
      <c r="C7" s="24">
        <v>39</v>
      </c>
      <c r="D7" s="24" t="s">
        <v>94</v>
      </c>
      <c r="E7" s="24" t="s">
        <v>97</v>
      </c>
      <c r="F7" s="24" t="s">
        <v>105</v>
      </c>
      <c r="G7" s="25">
        <v>46040</v>
      </c>
      <c r="H7" s="25">
        <v>46042</v>
      </c>
      <c r="I7" s="24" t="s">
        <v>115</v>
      </c>
      <c r="J7" s="24" t="s">
        <v>118</v>
      </c>
      <c r="K7" s="24">
        <v>9500</v>
      </c>
      <c r="L7" s="24" t="s">
        <v>121</v>
      </c>
      <c r="M7" s="24">
        <v>2</v>
      </c>
      <c r="N7" s="26" t="str">
        <f t="shared" si="2"/>
        <v>No Action</v>
      </c>
      <c r="O7" s="26" t="str">
        <f t="shared" si="3"/>
        <v>Normal Bill</v>
      </c>
      <c r="P7" s="26" t="str">
        <f t="shared" si="0"/>
        <v>Non- Senior</v>
      </c>
      <c r="Q7" s="26" t="str">
        <f t="shared" si="4"/>
        <v>Not a High Billing Case</v>
      </c>
      <c r="R7" s="24" t="str">
        <f>IF(AND(Patient_Data!L7="Pending",Patient_Data!K7&gt;30000),"Urgent Patient Follow-up","Follow-up not Required")</f>
        <v>Follow-up not Required</v>
      </c>
      <c r="S7" s="26" t="str">
        <f>IF(OR(Patient_Data!E7="Cardiology",Patient_Data!E7="Neurology"),"Priority Dept","RegularDept")</f>
        <v>RegularDept</v>
      </c>
      <c r="T7" s="26" t="str">
        <f>IF(NOT(Patient_Data!L7="pending"),"Payment Completed","Payment Pending")</f>
        <v>Payment Completed</v>
      </c>
      <c r="U7" s="24" t="str" cm="1">
        <f t="array" ref="U7">_xlfn.SWITCH(TRUE,K7&gt;=50000,"VH",K7&gt;=30000,"High",K7&gt;=15000,"Medium",K7&lt;15000,"Low")</f>
        <v>Low</v>
      </c>
      <c r="V7" s="26" t="str">
        <f t="shared" si="5"/>
        <v>Low</v>
      </c>
      <c r="W7" s="26" t="str">
        <f>IF(AND(Patient_Data!K7&gt;40000,Patient_Data!L7="Pending"),"high Financial Risk","Normal")</f>
        <v>Normal</v>
      </c>
      <c r="X7" s="26" t="str">
        <f t="shared" si="1"/>
        <v>No Review</v>
      </c>
    </row>
    <row r="8" spans="1:26">
      <c r="A8" s="27" t="s">
        <v>19</v>
      </c>
      <c r="B8" s="28" t="s">
        <v>59</v>
      </c>
      <c r="C8" s="28">
        <v>73</v>
      </c>
      <c r="D8" s="28" t="s">
        <v>93</v>
      </c>
      <c r="E8" s="28" t="s">
        <v>95</v>
      </c>
      <c r="F8" s="28" t="s">
        <v>106</v>
      </c>
      <c r="G8" s="29">
        <v>46042</v>
      </c>
      <c r="H8" s="29">
        <v>46051</v>
      </c>
      <c r="I8" s="28" t="s">
        <v>113</v>
      </c>
      <c r="J8" s="28" t="s">
        <v>119</v>
      </c>
      <c r="K8" s="28">
        <v>68000</v>
      </c>
      <c r="L8" s="28" t="s">
        <v>122</v>
      </c>
      <c r="M8" s="28">
        <v>9</v>
      </c>
      <c r="N8" s="30" t="str">
        <f t="shared" si="2"/>
        <v>follow Up</v>
      </c>
      <c r="O8" s="30" t="str">
        <f t="shared" si="3"/>
        <v>high Bill</v>
      </c>
      <c r="P8" s="30" t="str">
        <f t="shared" si="0"/>
        <v>Senior Citizen</v>
      </c>
      <c r="Q8" s="30" t="str">
        <f t="shared" si="4"/>
        <v>High Billing Case</v>
      </c>
      <c r="R8" s="28" t="str">
        <f>IF(AND(Patient_Data!L8="Pending",Patient_Data!K8&gt;30000),"Urgent Patient Follow-up","Follow-up not Required")</f>
        <v>Urgent Patient Follow-up</v>
      </c>
      <c r="S8" s="30" t="str">
        <f>IF(OR(Patient_Data!E8="Cardiology",Patient_Data!E8="Neurology"),"Priority Dept","RegularDept")</f>
        <v>Priority Dept</v>
      </c>
      <c r="T8" s="30" t="str">
        <f>IF(NOT(Patient_Data!L8="pending"),"Payment Completed","Payment Pending")</f>
        <v>Payment Pending</v>
      </c>
      <c r="U8" s="28" t="str" cm="1">
        <f t="array" ref="U8">_xlfn.SWITCH(TRUE,K8&gt;=50000,"VH",K8&gt;=30000,"High",K8&gt;=15000,"Medium",K8&lt;15000,"Low")</f>
        <v>VH</v>
      </c>
      <c r="V8" s="30" t="str">
        <f t="shared" si="5"/>
        <v>VH</v>
      </c>
      <c r="W8" s="30" t="str">
        <f>IF(AND(Patient_Data!K8&gt;40000,Patient_Data!L8="Pending"),"high Financial Risk","Normal")</f>
        <v>high Financial Risk</v>
      </c>
      <c r="X8" s="30" t="str">
        <f t="shared" si="1"/>
        <v>MR</v>
      </c>
    </row>
    <row r="9" spans="1:26">
      <c r="A9" s="23" t="s">
        <v>20</v>
      </c>
      <c r="B9" s="24" t="s">
        <v>60</v>
      </c>
      <c r="C9" s="24">
        <v>31</v>
      </c>
      <c r="D9" s="24" t="s">
        <v>94</v>
      </c>
      <c r="E9" s="24" t="s">
        <v>99</v>
      </c>
      <c r="F9" s="24" t="s">
        <v>107</v>
      </c>
      <c r="G9" s="25">
        <v>46044</v>
      </c>
      <c r="H9" s="25">
        <v>46046</v>
      </c>
      <c r="I9" s="24" t="s">
        <v>117</v>
      </c>
      <c r="J9" s="24" t="s">
        <v>120</v>
      </c>
      <c r="K9" s="24">
        <v>7500</v>
      </c>
      <c r="L9" s="24" t="s">
        <v>121</v>
      </c>
      <c r="M9" s="24">
        <v>2</v>
      </c>
      <c r="N9" s="26" t="str">
        <f t="shared" si="2"/>
        <v>No Action</v>
      </c>
      <c r="O9" s="26" t="str">
        <f t="shared" si="3"/>
        <v>Normal Bill</v>
      </c>
      <c r="P9" s="26" t="str">
        <f t="shared" si="0"/>
        <v>Non- Senior</v>
      </c>
      <c r="Q9" s="26" t="str">
        <f t="shared" si="4"/>
        <v>Not a High Billing Case</v>
      </c>
      <c r="R9" s="24" t="str">
        <f>IF(AND(Patient_Data!L9="Pending",Patient_Data!K9&gt;30000),"Urgent Patient Follow-up","Follow-up not Required")</f>
        <v>Follow-up not Required</v>
      </c>
      <c r="S9" s="26" t="str">
        <f>IF(OR(Patient_Data!E9="Cardiology",Patient_Data!E9="Neurology"),"Priority Dept","RegularDept")</f>
        <v>RegularDept</v>
      </c>
      <c r="T9" s="26" t="str">
        <f>IF(NOT(Patient_Data!L9="pending"),"Payment Completed","Payment Pending")</f>
        <v>Payment Completed</v>
      </c>
      <c r="U9" s="24" t="str" cm="1">
        <f t="array" ref="U9">_xlfn.SWITCH(TRUE,K9&gt;=50000,"VH",K9&gt;=30000,"High",K9&gt;=15000,"Medium",K9&lt;15000,"Low")</f>
        <v>Low</v>
      </c>
      <c r="V9" s="26" t="str">
        <f t="shared" si="5"/>
        <v>Low</v>
      </c>
      <c r="W9" s="26" t="str">
        <f>IF(AND(Patient_Data!K9&gt;40000,Patient_Data!L9="Pending"),"high Financial Risk","Normal")</f>
        <v>Normal</v>
      </c>
      <c r="X9" s="26" t="str">
        <f t="shared" si="1"/>
        <v>No Review</v>
      </c>
      <c r="Z9" t="s">
        <v>236</v>
      </c>
    </row>
    <row r="10" spans="1:26">
      <c r="A10" s="27" t="s">
        <v>21</v>
      </c>
      <c r="B10" s="28" t="s">
        <v>61</v>
      </c>
      <c r="C10" s="28">
        <v>56</v>
      </c>
      <c r="D10" s="28" t="s">
        <v>93</v>
      </c>
      <c r="E10" s="28" t="s">
        <v>96</v>
      </c>
      <c r="F10" s="28" t="s">
        <v>108</v>
      </c>
      <c r="G10" s="29">
        <v>46047</v>
      </c>
      <c r="H10" s="29">
        <v>46052</v>
      </c>
      <c r="I10" s="28" t="s">
        <v>114</v>
      </c>
      <c r="J10" s="28" t="s">
        <v>118</v>
      </c>
      <c r="K10" s="28">
        <v>24000</v>
      </c>
      <c r="L10" s="28" t="s">
        <v>121</v>
      </c>
      <c r="M10" s="28">
        <v>5</v>
      </c>
      <c r="N10" s="30" t="str">
        <f t="shared" si="2"/>
        <v>No Action</v>
      </c>
      <c r="O10" s="30" t="str">
        <f t="shared" si="3"/>
        <v>Normal Bill</v>
      </c>
      <c r="P10" s="30" t="str">
        <f t="shared" si="0"/>
        <v>Non- Senior</v>
      </c>
      <c r="Q10" s="30" t="str">
        <f t="shared" si="4"/>
        <v>Not a High Billing Case</v>
      </c>
      <c r="R10" s="28" t="str">
        <f>IF(AND(Patient_Data!L10="Pending",Patient_Data!K10&gt;30000),"Urgent Patient Follow-up","Follow-up not Required")</f>
        <v>Follow-up not Required</v>
      </c>
      <c r="S10" s="30" t="str">
        <f>IF(OR(Patient_Data!E10="Cardiology",Patient_Data!E10="Neurology"),"Priority Dept","RegularDept")</f>
        <v>RegularDept</v>
      </c>
      <c r="T10" s="30" t="str">
        <f>IF(NOT(Patient_Data!L10="pending"),"Payment Completed","Payment Pending")</f>
        <v>Payment Completed</v>
      </c>
      <c r="U10" s="28" t="str" cm="1">
        <f t="array" ref="U10">_xlfn.SWITCH(TRUE,K10&gt;=50000,"VH",K10&gt;=30000,"High",K10&gt;=15000,"Medium",K10&lt;15000,"Low")</f>
        <v>Medium</v>
      </c>
      <c r="V10" s="30" t="str">
        <f t="shared" si="5"/>
        <v>medium</v>
      </c>
      <c r="W10" s="30" t="str">
        <f>IF(AND(Patient_Data!K10&gt;40000,Patient_Data!L10="Pending"),"high Financial Risk","Normal")</f>
        <v>Normal</v>
      </c>
      <c r="X10" s="30" t="str">
        <f t="shared" si="1"/>
        <v>No Review</v>
      </c>
    </row>
    <row r="11" spans="1:26">
      <c r="A11" s="23" t="s">
        <v>22</v>
      </c>
      <c r="B11" s="24" t="s">
        <v>62</v>
      </c>
      <c r="C11" s="24">
        <v>24</v>
      </c>
      <c r="D11" s="24" t="s">
        <v>94</v>
      </c>
      <c r="E11" s="24" t="s">
        <v>97</v>
      </c>
      <c r="F11" s="24" t="s">
        <v>109</v>
      </c>
      <c r="G11" s="25">
        <v>46050</v>
      </c>
      <c r="H11" s="25">
        <v>46052</v>
      </c>
      <c r="I11" s="24" t="s">
        <v>115</v>
      </c>
      <c r="J11" s="24" t="s">
        <v>120</v>
      </c>
      <c r="K11" s="24">
        <v>6500</v>
      </c>
      <c r="L11" s="24" t="s">
        <v>121</v>
      </c>
      <c r="M11" s="24">
        <v>2</v>
      </c>
      <c r="N11" s="26" t="str">
        <f t="shared" si="2"/>
        <v>No Action</v>
      </c>
      <c r="O11" s="26" t="str">
        <f t="shared" si="3"/>
        <v>Normal Bill</v>
      </c>
      <c r="P11" s="26" t="str">
        <f t="shared" si="0"/>
        <v>Non- Senior</v>
      </c>
      <c r="Q11" s="26" t="str">
        <f t="shared" si="4"/>
        <v>Not a High Billing Case</v>
      </c>
      <c r="R11" s="24" t="str">
        <f>IF(AND(Patient_Data!L11="Pending",Patient_Data!K11&gt;30000),"Urgent Patient Follow-up","Follow-up not Required")</f>
        <v>Follow-up not Required</v>
      </c>
      <c r="S11" s="26" t="str">
        <f>IF(OR(Patient_Data!E11="Cardiology",Patient_Data!E11="Neurology"),"Priority Dept","RegularDept")</f>
        <v>RegularDept</v>
      </c>
      <c r="T11" s="26" t="str">
        <f>IF(NOT(Patient_Data!L11="pending"),"Payment Completed","Payment Pending")</f>
        <v>Payment Completed</v>
      </c>
      <c r="U11" s="24" t="str" cm="1">
        <f t="array" ref="U11">_xlfn.SWITCH(TRUE,K11&gt;=50000,"VH",K11&gt;=30000,"High",K11&gt;=15000,"Medium",K11&lt;15000,"Low")</f>
        <v>Low</v>
      </c>
      <c r="V11" s="26" t="str">
        <f t="shared" si="5"/>
        <v>Low</v>
      </c>
      <c r="W11" s="26" t="str">
        <f>IF(AND(Patient_Data!K11&gt;40000,Patient_Data!L11="Pending"),"high Financial Risk","Normal")</f>
        <v>Normal</v>
      </c>
      <c r="X11" s="26" t="str">
        <f t="shared" si="1"/>
        <v>No Review</v>
      </c>
    </row>
    <row r="12" spans="1:26">
      <c r="A12" s="27" t="s">
        <v>23</v>
      </c>
      <c r="B12" s="28" t="s">
        <v>63</v>
      </c>
      <c r="C12" s="28">
        <v>61</v>
      </c>
      <c r="D12" s="28" t="s">
        <v>93</v>
      </c>
      <c r="E12" s="28" t="s">
        <v>95</v>
      </c>
      <c r="F12" s="28" t="s">
        <v>100</v>
      </c>
      <c r="G12" s="29">
        <v>46055</v>
      </c>
      <c r="H12" s="29">
        <v>46059</v>
      </c>
      <c r="I12" s="28" t="s">
        <v>113</v>
      </c>
      <c r="J12" s="28" t="s">
        <v>118</v>
      </c>
      <c r="K12" s="28">
        <v>22000</v>
      </c>
      <c r="L12" s="28" t="s">
        <v>121</v>
      </c>
      <c r="M12" s="28">
        <v>4</v>
      </c>
      <c r="N12" s="30" t="str">
        <f t="shared" si="2"/>
        <v>No Action</v>
      </c>
      <c r="O12" s="30" t="str">
        <f t="shared" si="3"/>
        <v>Normal Bill</v>
      </c>
      <c r="P12" s="30" t="str">
        <f t="shared" si="0"/>
        <v>Senior Citizen</v>
      </c>
      <c r="Q12" s="30" t="str">
        <f t="shared" si="4"/>
        <v>Not a High Billing Case</v>
      </c>
      <c r="R12" s="28" t="str">
        <f>IF(AND(Patient_Data!L12="Pending",Patient_Data!K12&gt;30000),"Urgent Patient Follow-up","Follow-up not Required")</f>
        <v>Follow-up not Required</v>
      </c>
      <c r="S12" s="30" t="str">
        <f>IF(OR(Patient_Data!E12="Cardiology",Patient_Data!E12="Neurology"),"Priority Dept","RegularDept")</f>
        <v>Priority Dept</v>
      </c>
      <c r="T12" s="30" t="str">
        <f>IF(NOT(Patient_Data!L12="pending"),"Payment Completed","Payment Pending")</f>
        <v>Payment Completed</v>
      </c>
      <c r="U12" s="28" t="str" cm="1">
        <f t="array" ref="U12">_xlfn.SWITCH(TRUE,K12&gt;=50000,"VH",K12&gt;=30000,"High",K12&gt;=15000,"Medium",K12&lt;15000,"Low")</f>
        <v>Medium</v>
      </c>
      <c r="V12" s="30" t="str">
        <f t="shared" si="5"/>
        <v>medium</v>
      </c>
      <c r="W12" s="30" t="str">
        <f>IF(AND(Patient_Data!K12&gt;40000,Patient_Data!L12="Pending"),"high Financial Risk","Normal")</f>
        <v>Normal</v>
      </c>
      <c r="X12" s="30" t="str">
        <f t="shared" si="1"/>
        <v>No Review</v>
      </c>
    </row>
    <row r="13" spans="1:26">
      <c r="A13" s="23" t="s">
        <v>24</v>
      </c>
      <c r="B13" s="24" t="s">
        <v>64</v>
      </c>
      <c r="C13" s="24">
        <v>48</v>
      </c>
      <c r="D13" s="24" t="s">
        <v>94</v>
      </c>
      <c r="E13" s="24" t="s">
        <v>98</v>
      </c>
      <c r="F13" s="24" t="s">
        <v>110</v>
      </c>
      <c r="G13" s="25">
        <v>46057</v>
      </c>
      <c r="H13" s="25">
        <v>46064</v>
      </c>
      <c r="I13" s="24" t="s">
        <v>116</v>
      </c>
      <c r="J13" s="24" t="s">
        <v>119</v>
      </c>
      <c r="K13" s="24">
        <v>39000</v>
      </c>
      <c r="L13" s="24" t="s">
        <v>122</v>
      </c>
      <c r="M13" s="24">
        <v>7</v>
      </c>
      <c r="N13" s="26" t="str">
        <f t="shared" si="2"/>
        <v>follow Up</v>
      </c>
      <c r="O13" s="26" t="str">
        <f t="shared" si="3"/>
        <v>Normal Bill</v>
      </c>
      <c r="P13" s="26" t="str">
        <f t="shared" si="0"/>
        <v>Non- Senior</v>
      </c>
      <c r="Q13" s="26" t="str">
        <f t="shared" si="4"/>
        <v>Not a High Billing Case</v>
      </c>
      <c r="R13" s="24" t="str">
        <f>IF(AND(Patient_Data!L13="Pending",Patient_Data!K13&gt;30000),"Urgent Patient Follow-up","Follow-up not Required")</f>
        <v>Urgent Patient Follow-up</v>
      </c>
      <c r="S13" s="26" t="str">
        <f>IF(OR(Patient_Data!E13="Cardiology",Patient_Data!E13="Neurology"),"Priority Dept","RegularDept")</f>
        <v>Priority Dept</v>
      </c>
      <c r="T13" s="26" t="str">
        <f>IF(NOT(Patient_Data!L13="pending"),"Payment Completed","Payment Pending")</f>
        <v>Payment Pending</v>
      </c>
      <c r="U13" s="24" t="str" cm="1">
        <f t="array" ref="U13">_xlfn.SWITCH(TRUE,K13&gt;=50000,"VH",K13&gt;=30000,"High",K13&gt;=15000,"Medium",K13&lt;15000,"Low")</f>
        <v>High</v>
      </c>
      <c r="V13" s="26" t="str">
        <f t="shared" si="5"/>
        <v>High</v>
      </c>
      <c r="W13" s="26" t="str">
        <f>IF(AND(Patient_Data!K13&gt;40000,Patient_Data!L13="Pending"),"high Financial Risk","Normal")</f>
        <v>Normal</v>
      </c>
      <c r="X13" s="26" t="str">
        <f t="shared" si="1"/>
        <v>No Review</v>
      </c>
    </row>
    <row r="14" spans="1:26">
      <c r="A14" s="27" t="s">
        <v>25</v>
      </c>
      <c r="B14" s="28" t="s">
        <v>65</v>
      </c>
      <c r="C14" s="28">
        <v>36</v>
      </c>
      <c r="D14" s="28" t="s">
        <v>93</v>
      </c>
      <c r="E14" s="28" t="s">
        <v>96</v>
      </c>
      <c r="F14" s="28" t="s">
        <v>111</v>
      </c>
      <c r="G14" s="29">
        <v>46059</v>
      </c>
      <c r="H14" s="29">
        <v>46062</v>
      </c>
      <c r="I14" s="28" t="s">
        <v>114</v>
      </c>
      <c r="J14" s="28" t="s">
        <v>120</v>
      </c>
      <c r="K14" s="28">
        <v>14500</v>
      </c>
      <c r="L14" s="28" t="s">
        <v>121</v>
      </c>
      <c r="M14" s="28">
        <v>3</v>
      </c>
      <c r="N14" s="30" t="str">
        <f t="shared" si="2"/>
        <v>No Action</v>
      </c>
      <c r="O14" s="30" t="str">
        <f t="shared" si="3"/>
        <v>Normal Bill</v>
      </c>
      <c r="P14" s="30" t="str">
        <f t="shared" si="0"/>
        <v>Non- Senior</v>
      </c>
      <c r="Q14" s="30" t="str">
        <f t="shared" si="4"/>
        <v>Not a High Billing Case</v>
      </c>
      <c r="R14" s="28" t="str">
        <f>IF(AND(Patient_Data!L14="Pending",Patient_Data!K14&gt;30000),"Urgent Patient Follow-up","Follow-up not Required")</f>
        <v>Follow-up not Required</v>
      </c>
      <c r="S14" s="30" t="str">
        <f>IF(OR(Patient_Data!E14="Cardiology",Patient_Data!E14="Neurology"),"Priority Dept","RegularDept")</f>
        <v>RegularDept</v>
      </c>
      <c r="T14" s="30" t="str">
        <f>IF(NOT(Patient_Data!L14="pending"),"Payment Completed","Payment Pending")</f>
        <v>Payment Completed</v>
      </c>
      <c r="U14" s="28" t="str" cm="1">
        <f t="array" ref="U14">_xlfn.SWITCH(TRUE,K14&gt;=50000,"VH",K14&gt;=30000,"High",K14&gt;=15000,"Medium",K14&lt;15000,"Low")</f>
        <v>Low</v>
      </c>
      <c r="V14" s="30" t="str">
        <f t="shared" si="5"/>
        <v>Low</v>
      </c>
      <c r="W14" s="30" t="str">
        <f>IF(AND(Patient_Data!K14&gt;40000,Patient_Data!L14="Pending"),"high Financial Risk","Normal")</f>
        <v>Normal</v>
      </c>
      <c r="X14" s="30" t="str">
        <f t="shared" si="1"/>
        <v>No Review</v>
      </c>
    </row>
    <row r="15" spans="1:26">
      <c r="A15" s="23" t="s">
        <v>26</v>
      </c>
      <c r="B15" s="24" t="s">
        <v>66</v>
      </c>
      <c r="C15" s="24">
        <v>42</v>
      </c>
      <c r="D15" s="24" t="s">
        <v>94</v>
      </c>
      <c r="E15" s="24" t="s">
        <v>99</v>
      </c>
      <c r="F15" s="24" t="s">
        <v>112</v>
      </c>
      <c r="G15" s="25">
        <v>46061</v>
      </c>
      <c r="H15" s="25">
        <v>46065</v>
      </c>
      <c r="I15" s="24" t="s">
        <v>117</v>
      </c>
      <c r="J15" s="24" t="s">
        <v>118</v>
      </c>
      <c r="K15" s="24">
        <v>18000</v>
      </c>
      <c r="L15" s="24" t="s">
        <v>121</v>
      </c>
      <c r="M15" s="24">
        <v>4</v>
      </c>
      <c r="N15" s="26" t="str">
        <f t="shared" si="2"/>
        <v>No Action</v>
      </c>
      <c r="O15" s="26" t="str">
        <f t="shared" si="3"/>
        <v>Normal Bill</v>
      </c>
      <c r="P15" s="26" t="str">
        <f t="shared" si="0"/>
        <v>Non- Senior</v>
      </c>
      <c r="Q15" s="26" t="str">
        <f t="shared" si="4"/>
        <v>Not a High Billing Case</v>
      </c>
      <c r="R15" s="24" t="str">
        <f>IF(AND(Patient_Data!L15="Pending",Patient_Data!K15&gt;30000),"Urgent Patient Follow-up","Follow-up not Required")</f>
        <v>Follow-up not Required</v>
      </c>
      <c r="S15" s="26" t="str">
        <f>IF(OR(Patient_Data!E15="Cardiology",Patient_Data!E15="Neurology"),"Priority Dept","RegularDept")</f>
        <v>RegularDept</v>
      </c>
      <c r="T15" s="26" t="str">
        <f>IF(NOT(Patient_Data!L15="pending"),"Payment Completed","Payment Pending")</f>
        <v>Payment Completed</v>
      </c>
      <c r="U15" s="24" t="str" cm="1">
        <f t="array" ref="U15">_xlfn.SWITCH(TRUE,K15&gt;=50000,"VH",K15&gt;=30000,"High",K15&gt;=15000,"Medium",K15&lt;15000,"Low")</f>
        <v>Medium</v>
      </c>
      <c r="V15" s="26" t="str">
        <f t="shared" si="5"/>
        <v>medium</v>
      </c>
      <c r="W15" s="26" t="str">
        <f>IF(AND(Patient_Data!K15&gt;40000,Patient_Data!L15="Pending"),"high Financial Risk","Normal")</f>
        <v>Normal</v>
      </c>
      <c r="X15" s="26" t="str">
        <f t="shared" si="1"/>
        <v>No Review</v>
      </c>
    </row>
    <row r="16" spans="1:26">
      <c r="A16" s="27" t="s">
        <v>27</v>
      </c>
      <c r="B16" s="28" t="s">
        <v>67</v>
      </c>
      <c r="C16" s="28">
        <v>69</v>
      </c>
      <c r="D16" s="28" t="s">
        <v>93</v>
      </c>
      <c r="E16" s="28" t="s">
        <v>95</v>
      </c>
      <c r="F16" s="28" t="s">
        <v>106</v>
      </c>
      <c r="G16" s="29">
        <v>46063</v>
      </c>
      <c r="H16" s="29">
        <v>46073</v>
      </c>
      <c r="I16" s="28" t="s">
        <v>113</v>
      </c>
      <c r="J16" s="28" t="s">
        <v>119</v>
      </c>
      <c r="K16" s="28">
        <v>72000</v>
      </c>
      <c r="L16" s="28" t="s">
        <v>122</v>
      </c>
      <c r="M16" s="28">
        <v>10</v>
      </c>
      <c r="N16" s="30" t="str">
        <f t="shared" si="2"/>
        <v>follow Up</v>
      </c>
      <c r="O16" s="30" t="str">
        <f t="shared" si="3"/>
        <v>high Bill</v>
      </c>
      <c r="P16" s="30" t="str">
        <f t="shared" si="0"/>
        <v>Senior Citizen</v>
      </c>
      <c r="Q16" s="30" t="str">
        <f t="shared" si="4"/>
        <v>High Billing Case</v>
      </c>
      <c r="R16" s="28" t="str">
        <f>IF(AND(Patient_Data!L16="Pending",Patient_Data!K16&gt;30000),"Urgent Patient Follow-up","Follow-up not Required")</f>
        <v>Urgent Patient Follow-up</v>
      </c>
      <c r="S16" s="30" t="str">
        <f>IF(OR(Patient_Data!E16="Cardiology",Patient_Data!E16="Neurology"),"Priority Dept","RegularDept")</f>
        <v>Priority Dept</v>
      </c>
      <c r="T16" s="30" t="str">
        <f>IF(NOT(Patient_Data!L16="pending"),"Payment Completed","Payment Pending")</f>
        <v>Payment Pending</v>
      </c>
      <c r="U16" s="28" t="str" cm="1">
        <f t="array" ref="U16">_xlfn.SWITCH(TRUE,K16&gt;=50000,"VH",K16&gt;=30000,"High",K16&gt;=15000,"Medium",K16&lt;15000,"Low")</f>
        <v>VH</v>
      </c>
      <c r="V16" s="30" t="str">
        <f t="shared" si="5"/>
        <v>VH</v>
      </c>
      <c r="W16" s="30" t="str">
        <f>IF(AND(Patient_Data!K16&gt;40000,Patient_Data!L16="Pending"),"high Financial Risk","Normal")</f>
        <v>high Financial Risk</v>
      </c>
      <c r="X16" s="30" t="str">
        <f t="shared" si="1"/>
        <v>MR</v>
      </c>
    </row>
    <row r="17" spans="1:24">
      <c r="A17" s="23" t="s">
        <v>28</v>
      </c>
      <c r="B17" s="24" t="s">
        <v>68</v>
      </c>
      <c r="C17" s="24">
        <v>29</v>
      </c>
      <c r="D17" s="24" t="s">
        <v>94</v>
      </c>
      <c r="E17" s="24" t="s">
        <v>97</v>
      </c>
      <c r="F17" s="24" t="s">
        <v>102</v>
      </c>
      <c r="G17" s="25">
        <v>46065</v>
      </c>
      <c r="H17" s="25">
        <v>46068</v>
      </c>
      <c r="I17" s="24" t="s">
        <v>115</v>
      </c>
      <c r="J17" s="24" t="s">
        <v>120</v>
      </c>
      <c r="K17" s="24">
        <v>10500</v>
      </c>
      <c r="L17" s="24" t="s">
        <v>121</v>
      </c>
      <c r="M17" s="24">
        <v>3</v>
      </c>
      <c r="N17" s="26" t="str">
        <f t="shared" si="2"/>
        <v>No Action</v>
      </c>
      <c r="O17" s="26" t="str">
        <f t="shared" si="3"/>
        <v>Normal Bill</v>
      </c>
      <c r="P17" s="26" t="str">
        <f t="shared" si="0"/>
        <v>Non- Senior</v>
      </c>
      <c r="Q17" s="26" t="str">
        <f t="shared" si="4"/>
        <v>Not a High Billing Case</v>
      </c>
      <c r="R17" s="24" t="str">
        <f>IF(AND(Patient_Data!L17="Pending",Patient_Data!K17&gt;30000),"Urgent Patient Follow-up","Follow-up not Required")</f>
        <v>Follow-up not Required</v>
      </c>
      <c r="S17" s="26" t="str">
        <f>IF(OR(Patient_Data!E17="Cardiology",Patient_Data!E17="Neurology"),"Priority Dept","RegularDept")</f>
        <v>RegularDept</v>
      </c>
      <c r="T17" s="26" t="str">
        <f>IF(NOT(Patient_Data!L17="pending"),"Payment Completed","Payment Pending")</f>
        <v>Payment Completed</v>
      </c>
      <c r="U17" s="24" t="str" cm="1">
        <f t="array" ref="U17">_xlfn.SWITCH(TRUE,K17&gt;=50000,"VH",K17&gt;=30000,"High",K17&gt;=15000,"Medium",K17&lt;15000,"Low")</f>
        <v>Low</v>
      </c>
      <c r="V17" s="26" t="str">
        <f t="shared" si="5"/>
        <v>Low</v>
      </c>
      <c r="W17" s="26" t="str">
        <f>IF(AND(Patient_Data!K17&gt;40000,Patient_Data!L17="Pending"),"high Financial Risk","Normal")</f>
        <v>Normal</v>
      </c>
      <c r="X17" s="26" t="str">
        <f t="shared" si="1"/>
        <v>No Review</v>
      </c>
    </row>
    <row r="18" spans="1:24">
      <c r="A18" s="27" t="s">
        <v>29</v>
      </c>
      <c r="B18" s="28" t="s">
        <v>69</v>
      </c>
      <c r="C18" s="28">
        <v>58</v>
      </c>
      <c r="D18" s="28" t="s">
        <v>93</v>
      </c>
      <c r="E18" s="28" t="s">
        <v>98</v>
      </c>
      <c r="F18" s="28" t="s">
        <v>104</v>
      </c>
      <c r="G18" s="29">
        <v>46068</v>
      </c>
      <c r="H18" s="29">
        <v>46071</v>
      </c>
      <c r="I18" s="28" t="s">
        <v>116</v>
      </c>
      <c r="J18" s="28" t="s">
        <v>118</v>
      </c>
      <c r="K18" s="28">
        <v>17500</v>
      </c>
      <c r="L18" s="28" t="s">
        <v>121</v>
      </c>
      <c r="M18" s="28">
        <v>3</v>
      </c>
      <c r="N18" s="30" t="str">
        <f t="shared" si="2"/>
        <v>No Action</v>
      </c>
      <c r="O18" s="30" t="str">
        <f t="shared" si="3"/>
        <v>Normal Bill</v>
      </c>
      <c r="P18" s="30" t="str">
        <f t="shared" si="0"/>
        <v>Non- Senior</v>
      </c>
      <c r="Q18" s="30" t="str">
        <f t="shared" si="4"/>
        <v>Not a High Billing Case</v>
      </c>
      <c r="R18" s="28" t="str">
        <f>IF(AND(Patient_Data!L18="Pending",Patient_Data!K18&gt;30000),"Urgent Patient Follow-up","Follow-up not Required")</f>
        <v>Follow-up not Required</v>
      </c>
      <c r="S18" s="30" t="str">
        <f>IF(OR(Patient_Data!E18="Cardiology",Patient_Data!E18="Neurology"),"Priority Dept","RegularDept")</f>
        <v>Priority Dept</v>
      </c>
      <c r="T18" s="30" t="str">
        <f>IF(NOT(Patient_Data!L18="pending"),"Payment Completed","Payment Pending")</f>
        <v>Payment Completed</v>
      </c>
      <c r="U18" s="28" t="str" cm="1">
        <f t="array" ref="U18">_xlfn.SWITCH(TRUE,K18&gt;=50000,"VH",K18&gt;=30000,"High",K18&gt;=15000,"Medium",K18&lt;15000,"Low")</f>
        <v>Medium</v>
      </c>
      <c r="V18" s="30" t="str">
        <f t="shared" si="5"/>
        <v>medium</v>
      </c>
      <c r="W18" s="30" t="str">
        <f>IF(AND(Patient_Data!K18&gt;40000,Patient_Data!L18="Pending"),"high Financial Risk","Normal")</f>
        <v>Normal</v>
      </c>
      <c r="X18" s="30" t="str">
        <f t="shared" si="1"/>
        <v>No Review</v>
      </c>
    </row>
    <row r="19" spans="1:24">
      <c r="A19" s="23" t="s">
        <v>30</v>
      </c>
      <c r="B19" s="24" t="s">
        <v>70</v>
      </c>
      <c r="C19" s="24">
        <v>33</v>
      </c>
      <c r="D19" s="24" t="s">
        <v>94</v>
      </c>
      <c r="E19" s="24" t="s">
        <v>96</v>
      </c>
      <c r="F19" s="24" t="s">
        <v>101</v>
      </c>
      <c r="G19" s="25">
        <v>46070</v>
      </c>
      <c r="H19" s="25">
        <v>46078</v>
      </c>
      <c r="I19" s="24" t="s">
        <v>114</v>
      </c>
      <c r="J19" s="24" t="s">
        <v>119</v>
      </c>
      <c r="K19" s="24">
        <v>45000</v>
      </c>
      <c r="L19" s="24" t="s">
        <v>121</v>
      </c>
      <c r="M19" s="24">
        <v>8</v>
      </c>
      <c r="N19" s="26" t="str">
        <f t="shared" si="2"/>
        <v>No Action</v>
      </c>
      <c r="O19" s="26" t="str">
        <f t="shared" si="3"/>
        <v>high Bill</v>
      </c>
      <c r="P19" s="26" t="str">
        <f t="shared" si="0"/>
        <v>Non- Senior</v>
      </c>
      <c r="Q19" s="26" t="str">
        <f t="shared" si="4"/>
        <v>High Billing Case</v>
      </c>
      <c r="R19" s="24" t="str">
        <f>IF(AND(Patient_Data!L19="Pending",Patient_Data!K19&gt;30000),"Urgent Patient Follow-up","Follow-up not Required")</f>
        <v>Follow-up not Required</v>
      </c>
      <c r="S19" s="26" t="str">
        <f>IF(OR(Patient_Data!E19="Cardiology",Patient_Data!E19="Neurology"),"Priority Dept","RegularDept")</f>
        <v>RegularDept</v>
      </c>
      <c r="T19" s="26" t="str">
        <f>IF(NOT(Patient_Data!L19="pending"),"Payment Completed","Payment Pending")</f>
        <v>Payment Completed</v>
      </c>
      <c r="U19" s="24" t="str" cm="1">
        <f t="array" ref="U19">_xlfn.SWITCH(TRUE,K19&gt;=50000,"VH",K19&gt;=30000,"High",K19&gt;=15000,"Medium",K19&lt;15000,"Low")</f>
        <v>High</v>
      </c>
      <c r="V19" s="26" t="str">
        <f t="shared" si="5"/>
        <v>High</v>
      </c>
      <c r="W19" s="26" t="str">
        <f>IF(AND(Patient_Data!K19&gt;40000,Patient_Data!L19="Pending"),"high Financial Risk","Normal")</f>
        <v>Normal</v>
      </c>
      <c r="X19" s="26" t="str">
        <f t="shared" si="1"/>
        <v>MR</v>
      </c>
    </row>
    <row r="20" spans="1:24">
      <c r="A20" s="27" t="s">
        <v>31</v>
      </c>
      <c r="B20" s="28" t="s">
        <v>71</v>
      </c>
      <c r="C20" s="28">
        <v>47</v>
      </c>
      <c r="D20" s="28" t="s">
        <v>93</v>
      </c>
      <c r="E20" s="28" t="s">
        <v>99</v>
      </c>
      <c r="F20" s="28" t="s">
        <v>107</v>
      </c>
      <c r="G20" s="29">
        <v>46073</v>
      </c>
      <c r="H20" s="29">
        <v>46075</v>
      </c>
      <c r="I20" s="28" t="s">
        <v>117</v>
      </c>
      <c r="J20" s="28" t="s">
        <v>120</v>
      </c>
      <c r="K20" s="28">
        <v>8000</v>
      </c>
      <c r="L20" s="28" t="s">
        <v>122</v>
      </c>
      <c r="M20" s="28">
        <v>2</v>
      </c>
      <c r="N20" s="30" t="str">
        <f t="shared" si="2"/>
        <v>follow Up</v>
      </c>
      <c r="O20" s="30" t="str">
        <f t="shared" si="3"/>
        <v>Normal Bill</v>
      </c>
      <c r="P20" s="30" t="str">
        <f t="shared" si="0"/>
        <v>Non- Senior</v>
      </c>
      <c r="Q20" s="30" t="str">
        <f t="shared" si="4"/>
        <v>Not a High Billing Case</v>
      </c>
      <c r="R20" s="28" t="str">
        <f>IF(AND(Patient_Data!L20="Pending",Patient_Data!K20&gt;30000),"Urgent Patient Follow-up","Follow-up not Required")</f>
        <v>Follow-up not Required</v>
      </c>
      <c r="S20" s="30" t="str">
        <f>IF(OR(Patient_Data!E20="Cardiology",Patient_Data!E20="Neurology"),"Priority Dept","RegularDept")</f>
        <v>RegularDept</v>
      </c>
      <c r="T20" s="30" t="str">
        <f>IF(NOT(Patient_Data!L20="pending"),"Payment Completed","Payment Pending")</f>
        <v>Payment Pending</v>
      </c>
      <c r="U20" s="28" t="str" cm="1">
        <f t="array" ref="U20">_xlfn.SWITCH(TRUE,K20&gt;=50000,"VH",K20&gt;=30000,"High",K20&gt;=15000,"Medium",K20&lt;15000,"Low")</f>
        <v>Low</v>
      </c>
      <c r="V20" s="30" t="str">
        <f t="shared" si="5"/>
        <v>Low</v>
      </c>
      <c r="W20" s="30" t="str">
        <f>IF(AND(Patient_Data!K20&gt;40000,Patient_Data!L20="Pending"),"high Financial Risk","Normal")</f>
        <v>Normal</v>
      </c>
      <c r="X20" s="30" t="str">
        <f t="shared" si="1"/>
        <v>No Review</v>
      </c>
    </row>
    <row r="21" spans="1:24">
      <c r="A21" s="23" t="s">
        <v>32</v>
      </c>
      <c r="B21" s="24" t="s">
        <v>72</v>
      </c>
      <c r="C21" s="24">
        <v>55</v>
      </c>
      <c r="D21" s="24" t="s">
        <v>94</v>
      </c>
      <c r="E21" s="24" t="s">
        <v>95</v>
      </c>
      <c r="F21" s="24" t="s">
        <v>103</v>
      </c>
      <c r="G21" s="25">
        <v>46075</v>
      </c>
      <c r="H21" s="25">
        <v>46080</v>
      </c>
      <c r="I21" s="24" t="s">
        <v>113</v>
      </c>
      <c r="J21" s="24" t="s">
        <v>118</v>
      </c>
      <c r="K21" s="24">
        <v>31000</v>
      </c>
      <c r="L21" s="24" t="s">
        <v>121</v>
      </c>
      <c r="M21" s="24">
        <v>5</v>
      </c>
      <c r="N21" s="26" t="str">
        <f t="shared" si="2"/>
        <v>No Action</v>
      </c>
      <c r="O21" s="26" t="str">
        <f t="shared" si="3"/>
        <v>Normal Bill</v>
      </c>
      <c r="P21" s="26" t="str">
        <f t="shared" si="0"/>
        <v>Non- Senior</v>
      </c>
      <c r="Q21" s="26" t="str">
        <f t="shared" si="4"/>
        <v>Not a High Billing Case</v>
      </c>
      <c r="R21" s="24" t="str">
        <f>IF(AND(Patient_Data!L21="Pending",Patient_Data!K21&gt;30000),"Urgent Patient Follow-up","Follow-up not Required")</f>
        <v>Follow-up not Required</v>
      </c>
      <c r="S21" s="26" t="str">
        <f>IF(OR(Patient_Data!E21="Cardiology",Patient_Data!E21="Neurology"),"Priority Dept","RegularDept")</f>
        <v>Priority Dept</v>
      </c>
      <c r="T21" s="26" t="str">
        <f>IF(NOT(Patient_Data!L21="pending"),"Payment Completed","Payment Pending")</f>
        <v>Payment Completed</v>
      </c>
      <c r="U21" s="24" t="str" cm="1">
        <f t="array" ref="U21">_xlfn.SWITCH(TRUE,K21&gt;=50000,"VH",K21&gt;=30000,"High",K21&gt;=15000,"Medium",K21&lt;15000,"Low")</f>
        <v>High</v>
      </c>
      <c r="V21" s="26" t="str">
        <f t="shared" si="5"/>
        <v>High</v>
      </c>
      <c r="W21" s="26" t="str">
        <f>IF(AND(Patient_Data!K21&gt;40000,Patient_Data!L21="Pending"),"high Financial Risk","Normal")</f>
        <v>Normal</v>
      </c>
      <c r="X21" s="26" t="str">
        <f t="shared" si="1"/>
        <v>MR</v>
      </c>
    </row>
    <row r="22" spans="1:24">
      <c r="A22" s="27" t="s">
        <v>33</v>
      </c>
      <c r="B22" s="28" t="s">
        <v>73</v>
      </c>
      <c r="C22" s="28">
        <v>40</v>
      </c>
      <c r="D22" s="28" t="s">
        <v>93</v>
      </c>
      <c r="E22" s="28" t="s">
        <v>97</v>
      </c>
      <c r="F22" s="28" t="s">
        <v>105</v>
      </c>
      <c r="G22" s="29">
        <v>46082</v>
      </c>
      <c r="H22" s="29">
        <v>46085</v>
      </c>
      <c r="I22" s="28" t="s">
        <v>115</v>
      </c>
      <c r="J22" s="28" t="s">
        <v>119</v>
      </c>
      <c r="K22" s="28">
        <v>13000</v>
      </c>
      <c r="L22" s="28" t="s">
        <v>121</v>
      </c>
      <c r="M22" s="28">
        <v>3</v>
      </c>
      <c r="N22" s="30" t="str">
        <f t="shared" si="2"/>
        <v>No Action</v>
      </c>
      <c r="O22" s="30" t="str">
        <f t="shared" si="3"/>
        <v>Normal Bill</v>
      </c>
      <c r="P22" s="30" t="str">
        <f t="shared" si="0"/>
        <v>Non- Senior</v>
      </c>
      <c r="Q22" s="30" t="str">
        <f t="shared" si="4"/>
        <v>Not a High Billing Case</v>
      </c>
      <c r="R22" s="28" t="str">
        <f>IF(AND(Patient_Data!L22="Pending",Patient_Data!K22&gt;30000),"Urgent Patient Follow-up","Follow-up not Required")</f>
        <v>Follow-up not Required</v>
      </c>
      <c r="S22" s="30" t="str">
        <f>IF(OR(Patient_Data!E22="Cardiology",Patient_Data!E22="Neurology"),"Priority Dept","RegularDept")</f>
        <v>RegularDept</v>
      </c>
      <c r="T22" s="30" t="str">
        <f>IF(NOT(Patient_Data!L22="pending"),"Payment Completed","Payment Pending")</f>
        <v>Payment Completed</v>
      </c>
      <c r="U22" s="28" t="str" cm="1">
        <f t="array" ref="U22">_xlfn.SWITCH(TRUE,K22&gt;=50000,"VH",K22&gt;=30000,"High",K22&gt;=15000,"Medium",K22&lt;15000,"Low")</f>
        <v>Low</v>
      </c>
      <c r="V22" s="30" t="str">
        <f t="shared" si="5"/>
        <v>Low</v>
      </c>
      <c r="W22" s="30" t="str">
        <f>IF(AND(Patient_Data!K22&gt;40000,Patient_Data!L22="Pending"),"high Financial Risk","Normal")</f>
        <v>Normal</v>
      </c>
      <c r="X22" s="30" t="str">
        <f t="shared" si="1"/>
        <v>No Review</v>
      </c>
    </row>
    <row r="23" spans="1:24">
      <c r="A23" s="23" t="s">
        <v>34</v>
      </c>
      <c r="B23" s="24" t="s">
        <v>74</v>
      </c>
      <c r="C23" s="24">
        <v>63</v>
      </c>
      <c r="D23" s="24" t="s">
        <v>94</v>
      </c>
      <c r="E23" s="24" t="s">
        <v>98</v>
      </c>
      <c r="F23" s="24" t="s">
        <v>110</v>
      </c>
      <c r="G23" s="25">
        <v>46084</v>
      </c>
      <c r="H23" s="25">
        <v>46093</v>
      </c>
      <c r="I23" s="24" t="s">
        <v>116</v>
      </c>
      <c r="J23" s="24" t="s">
        <v>118</v>
      </c>
      <c r="K23" s="24">
        <v>48000</v>
      </c>
      <c r="L23" s="24" t="s">
        <v>121</v>
      </c>
      <c r="M23" s="24">
        <v>9</v>
      </c>
      <c r="N23" s="26" t="str">
        <f t="shared" si="2"/>
        <v>No Action</v>
      </c>
      <c r="O23" s="26" t="str">
        <f t="shared" si="3"/>
        <v>high Bill</v>
      </c>
      <c r="P23" s="26" t="str">
        <f t="shared" si="0"/>
        <v>Senior Citizen</v>
      </c>
      <c r="Q23" s="26" t="str">
        <f t="shared" si="4"/>
        <v>High Billing Case</v>
      </c>
      <c r="R23" s="24" t="str">
        <f>IF(AND(Patient_Data!L23="Pending",Patient_Data!K23&gt;30000),"Urgent Patient Follow-up","Follow-up not Required")</f>
        <v>Follow-up not Required</v>
      </c>
      <c r="S23" s="26" t="str">
        <f>IF(OR(Patient_Data!E23="Cardiology",Patient_Data!E23="Neurology"),"Priority Dept","RegularDept")</f>
        <v>Priority Dept</v>
      </c>
      <c r="T23" s="26" t="str">
        <f>IF(NOT(Patient_Data!L23="pending"),"Payment Completed","Payment Pending")</f>
        <v>Payment Completed</v>
      </c>
      <c r="U23" s="24" t="str" cm="1">
        <f t="array" ref="U23">_xlfn.SWITCH(TRUE,K23&gt;=50000,"VH",K23&gt;=30000,"High",K23&gt;=15000,"Medium",K23&lt;15000,"Low")</f>
        <v>High</v>
      </c>
      <c r="V23" s="26" t="str">
        <f t="shared" si="5"/>
        <v>High</v>
      </c>
      <c r="W23" s="26" t="str">
        <f>IF(AND(Patient_Data!K23&gt;40000,Patient_Data!L23="Pending"),"high Financial Risk","Normal")</f>
        <v>Normal</v>
      </c>
      <c r="X23" s="26" t="str">
        <f t="shared" si="1"/>
        <v>No Review</v>
      </c>
    </row>
    <row r="24" spans="1:24">
      <c r="A24" s="27" t="s">
        <v>35</v>
      </c>
      <c r="B24" s="28" t="s">
        <v>75</v>
      </c>
      <c r="C24" s="28">
        <v>27</v>
      </c>
      <c r="D24" s="28" t="s">
        <v>93</v>
      </c>
      <c r="E24" s="28" t="s">
        <v>96</v>
      </c>
      <c r="F24" s="28" t="s">
        <v>111</v>
      </c>
      <c r="G24" s="29">
        <v>46086</v>
      </c>
      <c r="H24" s="29">
        <v>46089</v>
      </c>
      <c r="I24" s="28" t="s">
        <v>114</v>
      </c>
      <c r="J24" s="28" t="s">
        <v>120</v>
      </c>
      <c r="K24" s="28">
        <v>12500</v>
      </c>
      <c r="L24" s="28" t="s">
        <v>121</v>
      </c>
      <c r="M24" s="28">
        <v>3</v>
      </c>
      <c r="N24" s="30" t="str">
        <f t="shared" si="2"/>
        <v>No Action</v>
      </c>
      <c r="O24" s="30" t="str">
        <f t="shared" si="3"/>
        <v>Normal Bill</v>
      </c>
      <c r="P24" s="30" t="str">
        <f t="shared" si="0"/>
        <v>Non- Senior</v>
      </c>
      <c r="Q24" s="30" t="str">
        <f t="shared" si="4"/>
        <v>Not a High Billing Case</v>
      </c>
      <c r="R24" s="28" t="str">
        <f>IF(AND(Patient_Data!L24="Pending",Patient_Data!K24&gt;30000),"Urgent Patient Follow-up","Follow-up not Required")</f>
        <v>Follow-up not Required</v>
      </c>
      <c r="S24" s="30" t="str">
        <f>IF(OR(Patient_Data!E24="Cardiology",Patient_Data!E24="Neurology"),"Priority Dept","RegularDept")</f>
        <v>RegularDept</v>
      </c>
      <c r="T24" s="30" t="str">
        <f>IF(NOT(Patient_Data!L24="pending"),"Payment Completed","Payment Pending")</f>
        <v>Payment Completed</v>
      </c>
      <c r="U24" s="28" t="str" cm="1">
        <f t="array" ref="U24">_xlfn.SWITCH(TRUE,K24&gt;=50000,"VH",K24&gt;=30000,"High",K24&gt;=15000,"Medium",K24&lt;15000,"Low")</f>
        <v>Low</v>
      </c>
      <c r="V24" s="30" t="str">
        <f t="shared" si="5"/>
        <v>Low</v>
      </c>
      <c r="W24" s="30" t="str">
        <f>IF(AND(Patient_Data!K24&gt;40000,Patient_Data!L24="Pending"),"high Financial Risk","Normal")</f>
        <v>Normal</v>
      </c>
      <c r="X24" s="30" t="str">
        <f t="shared" si="1"/>
        <v>No Review</v>
      </c>
    </row>
    <row r="25" spans="1:24">
      <c r="A25" s="23" t="s">
        <v>36</v>
      </c>
      <c r="B25" s="24" t="s">
        <v>76</v>
      </c>
      <c r="C25" s="24">
        <v>51</v>
      </c>
      <c r="D25" s="24" t="s">
        <v>94</v>
      </c>
      <c r="E25" s="24" t="s">
        <v>99</v>
      </c>
      <c r="F25" s="24" t="s">
        <v>112</v>
      </c>
      <c r="G25" s="25">
        <v>46088</v>
      </c>
      <c r="H25" s="25">
        <v>46091</v>
      </c>
      <c r="I25" s="24" t="s">
        <v>117</v>
      </c>
      <c r="J25" s="24" t="s">
        <v>119</v>
      </c>
      <c r="K25" s="24">
        <v>15500</v>
      </c>
      <c r="L25" s="24" t="s">
        <v>122</v>
      </c>
      <c r="M25" s="24">
        <v>3</v>
      </c>
      <c r="N25" s="26" t="str">
        <f t="shared" si="2"/>
        <v>follow Up</v>
      </c>
      <c r="O25" s="26" t="str">
        <f t="shared" si="3"/>
        <v>Normal Bill</v>
      </c>
      <c r="P25" s="26" t="str">
        <f t="shared" si="0"/>
        <v>Non- Senior</v>
      </c>
      <c r="Q25" s="26" t="str">
        <f t="shared" si="4"/>
        <v>Not a High Billing Case</v>
      </c>
      <c r="R25" s="24" t="str">
        <f>IF(AND(Patient_Data!L25="Pending",Patient_Data!K25&gt;30000),"Urgent Patient Follow-up","Follow-up not Required")</f>
        <v>Follow-up not Required</v>
      </c>
      <c r="S25" s="26" t="str">
        <f>IF(OR(Patient_Data!E25="Cardiology",Patient_Data!E25="Neurology"),"Priority Dept","RegularDept")</f>
        <v>RegularDept</v>
      </c>
      <c r="T25" s="26" t="str">
        <f>IF(NOT(Patient_Data!L25="pending"),"Payment Completed","Payment Pending")</f>
        <v>Payment Pending</v>
      </c>
      <c r="U25" s="24" t="str" cm="1">
        <f t="array" ref="U25">_xlfn.SWITCH(TRUE,K25&gt;=50000,"VH",K25&gt;=30000,"High",K25&gt;=15000,"Medium",K25&lt;15000,"Low")</f>
        <v>Medium</v>
      </c>
      <c r="V25" s="26" t="str">
        <f t="shared" si="5"/>
        <v>medium</v>
      </c>
      <c r="W25" s="26" t="str">
        <f>IF(AND(Patient_Data!K25&gt;40000,Patient_Data!L25="Pending"),"high Financial Risk","Normal")</f>
        <v>Normal</v>
      </c>
      <c r="X25" s="26" t="str">
        <f t="shared" si="1"/>
        <v>No Review</v>
      </c>
    </row>
    <row r="26" spans="1:24">
      <c r="A26" s="27" t="s">
        <v>37</v>
      </c>
      <c r="B26" s="28" t="s">
        <v>77</v>
      </c>
      <c r="C26" s="28">
        <v>70</v>
      </c>
      <c r="D26" s="28" t="s">
        <v>93</v>
      </c>
      <c r="E26" s="28" t="s">
        <v>95</v>
      </c>
      <c r="F26" s="28" t="s">
        <v>106</v>
      </c>
      <c r="G26" s="29">
        <v>46091</v>
      </c>
      <c r="H26" s="29">
        <v>46102</v>
      </c>
      <c r="I26" s="28" t="s">
        <v>113</v>
      </c>
      <c r="J26" s="28" t="s">
        <v>119</v>
      </c>
      <c r="K26" s="28">
        <v>76000</v>
      </c>
      <c r="L26" s="28" t="s">
        <v>121</v>
      </c>
      <c r="M26" s="28">
        <v>11</v>
      </c>
      <c r="N26" s="30" t="str">
        <f t="shared" si="2"/>
        <v>No Action</v>
      </c>
      <c r="O26" s="30" t="str">
        <f t="shared" si="3"/>
        <v>high Bill</v>
      </c>
      <c r="P26" s="30" t="str">
        <f t="shared" si="0"/>
        <v>Senior Citizen</v>
      </c>
      <c r="Q26" s="30" t="str">
        <f t="shared" si="4"/>
        <v>High Billing Case</v>
      </c>
      <c r="R26" s="28" t="str">
        <f>IF(AND(Patient_Data!L26="Pending",Patient_Data!K26&gt;30000),"Urgent Patient Follow-up","Follow-up not Required")</f>
        <v>Follow-up not Required</v>
      </c>
      <c r="S26" s="30" t="str">
        <f>IF(OR(Patient_Data!E26="Cardiology",Patient_Data!E26="Neurology"),"Priority Dept","RegularDept")</f>
        <v>Priority Dept</v>
      </c>
      <c r="T26" s="30" t="str">
        <f>IF(NOT(Patient_Data!L26="pending"),"Payment Completed","Payment Pending")</f>
        <v>Payment Completed</v>
      </c>
      <c r="U26" s="28" t="str" cm="1">
        <f t="array" ref="U26">_xlfn.SWITCH(TRUE,K26&gt;=50000,"VH",K26&gt;=30000,"High",K26&gt;=15000,"Medium",K26&lt;15000,"Low")</f>
        <v>VH</v>
      </c>
      <c r="V26" s="30" t="str">
        <f t="shared" si="5"/>
        <v>VH</v>
      </c>
      <c r="W26" s="30" t="str">
        <f>IF(AND(Patient_Data!K26&gt;40000,Patient_Data!L26="Pending"),"high Financial Risk","Normal")</f>
        <v>Normal</v>
      </c>
      <c r="X26" s="30" t="str">
        <f t="shared" si="1"/>
        <v>MR</v>
      </c>
    </row>
    <row r="27" spans="1:24">
      <c r="A27" s="23" t="s">
        <v>38</v>
      </c>
      <c r="B27" s="24" t="s">
        <v>78</v>
      </c>
      <c r="C27" s="24">
        <v>37</v>
      </c>
      <c r="D27" s="24" t="s">
        <v>94</v>
      </c>
      <c r="E27" s="24" t="s">
        <v>97</v>
      </c>
      <c r="F27" s="24" t="s">
        <v>109</v>
      </c>
      <c r="G27" s="25">
        <v>46093</v>
      </c>
      <c r="H27" s="25">
        <v>46095</v>
      </c>
      <c r="I27" s="24" t="s">
        <v>115</v>
      </c>
      <c r="J27" s="24" t="s">
        <v>120</v>
      </c>
      <c r="K27" s="24">
        <v>6200</v>
      </c>
      <c r="L27" s="24" t="s">
        <v>121</v>
      </c>
      <c r="M27" s="24">
        <v>2</v>
      </c>
      <c r="N27" s="26" t="str">
        <f t="shared" si="2"/>
        <v>No Action</v>
      </c>
      <c r="O27" s="26" t="str">
        <f t="shared" si="3"/>
        <v>Normal Bill</v>
      </c>
      <c r="P27" s="26" t="str">
        <f t="shared" si="0"/>
        <v>Non- Senior</v>
      </c>
      <c r="Q27" s="26" t="str">
        <f t="shared" si="4"/>
        <v>Not a High Billing Case</v>
      </c>
      <c r="R27" s="24" t="str">
        <f>IF(AND(Patient_Data!L27="Pending",Patient_Data!K27&gt;30000),"Urgent Patient Follow-up","Follow-up not Required")</f>
        <v>Follow-up not Required</v>
      </c>
      <c r="S27" s="26" t="str">
        <f>IF(OR(Patient_Data!E27="Cardiology",Patient_Data!E27="Neurology"),"Priority Dept","RegularDept")</f>
        <v>RegularDept</v>
      </c>
      <c r="T27" s="26" t="str">
        <f>IF(NOT(Patient_Data!L27="pending"),"Payment Completed","Payment Pending")</f>
        <v>Payment Completed</v>
      </c>
      <c r="U27" s="24" t="str" cm="1">
        <f t="array" ref="U27">_xlfn.SWITCH(TRUE,K27&gt;=50000,"VH",K27&gt;=30000,"High",K27&gt;=15000,"Medium",K27&lt;15000,"Low")</f>
        <v>Low</v>
      </c>
      <c r="V27" s="26" t="str">
        <f t="shared" si="5"/>
        <v>Low</v>
      </c>
      <c r="W27" s="26" t="str">
        <f>IF(AND(Patient_Data!K27&gt;40000,Patient_Data!L27="Pending"),"high Financial Risk","Normal")</f>
        <v>Normal</v>
      </c>
      <c r="X27" s="26" t="str">
        <f t="shared" si="1"/>
        <v>No Review</v>
      </c>
    </row>
    <row r="28" spans="1:24">
      <c r="A28" s="27" t="s">
        <v>39</v>
      </c>
      <c r="B28" s="28" t="s">
        <v>79</v>
      </c>
      <c r="C28" s="28">
        <v>44</v>
      </c>
      <c r="D28" s="28" t="s">
        <v>93</v>
      </c>
      <c r="E28" s="28" t="s">
        <v>96</v>
      </c>
      <c r="F28" s="28" t="s">
        <v>108</v>
      </c>
      <c r="G28" s="29">
        <v>46096</v>
      </c>
      <c r="H28" s="29">
        <v>46101</v>
      </c>
      <c r="I28" s="28" t="s">
        <v>114</v>
      </c>
      <c r="J28" s="28" t="s">
        <v>118</v>
      </c>
      <c r="K28" s="28">
        <v>26000</v>
      </c>
      <c r="L28" s="28" t="s">
        <v>122</v>
      </c>
      <c r="M28" s="28">
        <v>5</v>
      </c>
      <c r="N28" s="30" t="str">
        <f t="shared" si="2"/>
        <v>follow Up</v>
      </c>
      <c r="O28" s="30" t="str">
        <f t="shared" si="3"/>
        <v>Normal Bill</v>
      </c>
      <c r="P28" s="30" t="str">
        <f t="shared" si="0"/>
        <v>Non- Senior</v>
      </c>
      <c r="Q28" s="30" t="str">
        <f t="shared" si="4"/>
        <v>Not a High Billing Case</v>
      </c>
      <c r="R28" s="28" t="str">
        <f>IF(AND(Patient_Data!L28="Pending",Patient_Data!K28&gt;30000),"Urgent Patient Follow-up","Follow-up not Required")</f>
        <v>Follow-up not Required</v>
      </c>
      <c r="S28" s="30" t="str">
        <f>IF(OR(Patient_Data!E28="Cardiology",Patient_Data!E28="Neurology"),"Priority Dept","RegularDept")</f>
        <v>RegularDept</v>
      </c>
      <c r="T28" s="30" t="str">
        <f>IF(NOT(Patient_Data!L28="pending"),"Payment Completed","Payment Pending")</f>
        <v>Payment Pending</v>
      </c>
      <c r="U28" s="28" t="str" cm="1">
        <f t="array" ref="U28">_xlfn.SWITCH(TRUE,K28&gt;=50000,"VH",K28&gt;=30000,"High",K28&gt;=15000,"Medium",K28&lt;15000,"Low")</f>
        <v>Medium</v>
      </c>
      <c r="V28" s="30" t="str">
        <f t="shared" si="5"/>
        <v>medium</v>
      </c>
      <c r="W28" s="30" t="str">
        <f>IF(AND(Patient_Data!K28&gt;40000,Patient_Data!L28="Pending"),"high Financial Risk","Normal")</f>
        <v>Normal</v>
      </c>
      <c r="X28" s="30" t="str">
        <f t="shared" si="1"/>
        <v>No Review</v>
      </c>
    </row>
    <row r="29" spans="1:24">
      <c r="A29" s="23" t="s">
        <v>40</v>
      </c>
      <c r="B29" s="24" t="s">
        <v>80</v>
      </c>
      <c r="C29" s="24">
        <v>30</v>
      </c>
      <c r="D29" s="24" t="s">
        <v>94</v>
      </c>
      <c r="E29" s="24" t="s">
        <v>98</v>
      </c>
      <c r="F29" s="24" t="s">
        <v>104</v>
      </c>
      <c r="G29" s="25">
        <v>46098</v>
      </c>
      <c r="H29" s="25">
        <v>46100</v>
      </c>
      <c r="I29" s="24" t="s">
        <v>116</v>
      </c>
      <c r="J29" s="24" t="s">
        <v>120</v>
      </c>
      <c r="K29" s="24">
        <v>9000</v>
      </c>
      <c r="L29" s="24" t="s">
        <v>121</v>
      </c>
      <c r="M29" s="24">
        <v>2</v>
      </c>
      <c r="N29" s="26" t="str">
        <f t="shared" si="2"/>
        <v>No Action</v>
      </c>
      <c r="O29" s="26" t="str">
        <f t="shared" si="3"/>
        <v>Normal Bill</v>
      </c>
      <c r="P29" s="26" t="str">
        <f t="shared" si="0"/>
        <v>Non- Senior</v>
      </c>
      <c r="Q29" s="26" t="str">
        <f t="shared" si="4"/>
        <v>Not a High Billing Case</v>
      </c>
      <c r="R29" s="24" t="str">
        <f>IF(AND(Patient_Data!L29="Pending",Patient_Data!K29&gt;30000),"Urgent Patient Follow-up","Follow-up not Required")</f>
        <v>Follow-up not Required</v>
      </c>
      <c r="S29" s="26" t="str">
        <f>IF(OR(Patient_Data!E29="Cardiology",Patient_Data!E29="Neurology"),"Priority Dept","RegularDept")</f>
        <v>Priority Dept</v>
      </c>
      <c r="T29" s="26" t="str">
        <f>IF(NOT(Patient_Data!L29="pending"),"Payment Completed","Payment Pending")</f>
        <v>Payment Completed</v>
      </c>
      <c r="U29" s="24" t="str" cm="1">
        <f t="array" ref="U29">_xlfn.SWITCH(TRUE,K29&gt;=50000,"VH",K29&gt;=30000,"High",K29&gt;=15000,"Medium",K29&lt;15000,"Low")</f>
        <v>Low</v>
      </c>
      <c r="V29" s="26" t="str">
        <f t="shared" si="5"/>
        <v>Low</v>
      </c>
      <c r="W29" s="26" t="str">
        <f>IF(AND(Patient_Data!K29&gt;40000,Patient_Data!L29="Pending"),"high Financial Risk","Normal")</f>
        <v>Normal</v>
      </c>
      <c r="X29" s="26" t="str">
        <f t="shared" si="1"/>
        <v>No Review</v>
      </c>
    </row>
    <row r="30" spans="1:24">
      <c r="A30" s="27" t="s">
        <v>41</v>
      </c>
      <c r="B30" s="28" t="s">
        <v>81</v>
      </c>
      <c r="C30" s="28">
        <v>59</v>
      </c>
      <c r="D30" s="28" t="s">
        <v>93</v>
      </c>
      <c r="E30" s="28" t="s">
        <v>99</v>
      </c>
      <c r="F30" s="28" t="s">
        <v>107</v>
      </c>
      <c r="G30" s="29">
        <v>46101</v>
      </c>
      <c r="H30" s="29">
        <v>46104</v>
      </c>
      <c r="I30" s="28" t="s">
        <v>117</v>
      </c>
      <c r="J30" s="28" t="s">
        <v>118</v>
      </c>
      <c r="K30" s="28">
        <v>11000</v>
      </c>
      <c r="L30" s="28" t="s">
        <v>121</v>
      </c>
      <c r="M30" s="28">
        <v>3</v>
      </c>
      <c r="N30" s="30" t="str">
        <f t="shared" si="2"/>
        <v>No Action</v>
      </c>
      <c r="O30" s="30" t="str">
        <f t="shared" si="3"/>
        <v>Normal Bill</v>
      </c>
      <c r="P30" s="30" t="str">
        <f t="shared" si="0"/>
        <v>Non- Senior</v>
      </c>
      <c r="Q30" s="30" t="str">
        <f t="shared" si="4"/>
        <v>Not a High Billing Case</v>
      </c>
      <c r="R30" s="28" t="str">
        <f>IF(AND(Patient_Data!L30="Pending",Patient_Data!K30&gt;30000),"Urgent Patient Follow-up","Follow-up not Required")</f>
        <v>Follow-up not Required</v>
      </c>
      <c r="S30" s="30" t="str">
        <f>IF(OR(Patient_Data!E30="Cardiology",Patient_Data!E30="Neurology"),"Priority Dept","RegularDept")</f>
        <v>RegularDept</v>
      </c>
      <c r="T30" s="30" t="str">
        <f>IF(NOT(Patient_Data!L30="pending"),"Payment Completed","Payment Pending")</f>
        <v>Payment Completed</v>
      </c>
      <c r="U30" s="28" t="str" cm="1">
        <f t="array" ref="U30">_xlfn.SWITCH(TRUE,K30&gt;=50000,"VH",K30&gt;=30000,"High",K30&gt;=15000,"Medium",K30&lt;15000,"Low")</f>
        <v>Low</v>
      </c>
      <c r="V30" s="30" t="str">
        <f t="shared" si="5"/>
        <v>Low</v>
      </c>
      <c r="W30" s="30" t="str">
        <f>IF(AND(Patient_Data!K30&gt;40000,Patient_Data!L30="Pending"),"high Financial Risk","Normal")</f>
        <v>Normal</v>
      </c>
      <c r="X30" s="30" t="str">
        <f t="shared" si="1"/>
        <v>No Review</v>
      </c>
    </row>
    <row r="31" spans="1:24">
      <c r="A31" s="23" t="s">
        <v>42</v>
      </c>
      <c r="B31" s="24" t="s">
        <v>82</v>
      </c>
      <c r="C31" s="24">
        <v>46</v>
      </c>
      <c r="D31" s="24" t="s">
        <v>94</v>
      </c>
      <c r="E31" s="24" t="s">
        <v>95</v>
      </c>
      <c r="F31" s="24" t="s">
        <v>100</v>
      </c>
      <c r="G31" s="25">
        <v>46103</v>
      </c>
      <c r="H31" s="25">
        <v>46107</v>
      </c>
      <c r="I31" s="24" t="s">
        <v>113</v>
      </c>
      <c r="J31" s="24" t="s">
        <v>119</v>
      </c>
      <c r="K31" s="24">
        <v>24500</v>
      </c>
      <c r="L31" s="24" t="s">
        <v>121</v>
      </c>
      <c r="M31" s="24">
        <v>4</v>
      </c>
      <c r="N31" s="26" t="str">
        <f t="shared" si="2"/>
        <v>No Action</v>
      </c>
      <c r="O31" s="26" t="str">
        <f t="shared" si="3"/>
        <v>Normal Bill</v>
      </c>
      <c r="P31" s="26" t="str">
        <f t="shared" si="0"/>
        <v>Non- Senior</v>
      </c>
      <c r="Q31" s="26" t="str">
        <f t="shared" si="4"/>
        <v>Not a High Billing Case</v>
      </c>
      <c r="R31" s="24" t="str">
        <f>IF(AND(Patient_Data!L31="Pending",Patient_Data!K31&gt;30000),"Urgent Patient Follow-up","Follow-up not Required")</f>
        <v>Follow-up not Required</v>
      </c>
      <c r="S31" s="26" t="str">
        <f>IF(OR(Patient_Data!E31="Cardiology",Patient_Data!E31="Neurology"),"Priority Dept","RegularDept")</f>
        <v>Priority Dept</v>
      </c>
      <c r="T31" s="26" t="str">
        <f>IF(NOT(Patient_Data!L31="pending"),"Payment Completed","Payment Pending")</f>
        <v>Payment Completed</v>
      </c>
      <c r="U31" s="24" t="str" cm="1">
        <f t="array" ref="U31">_xlfn.SWITCH(TRUE,K31&gt;=50000,"VH",K31&gt;=30000,"High",K31&gt;=15000,"Medium",K31&lt;15000,"Low")</f>
        <v>Medium</v>
      </c>
      <c r="V31" s="26" t="str">
        <f t="shared" si="5"/>
        <v>medium</v>
      </c>
      <c r="W31" s="26" t="str">
        <f>IF(AND(Patient_Data!K31&gt;40000,Patient_Data!L31="Pending"),"high Financial Risk","Normal")</f>
        <v>Normal</v>
      </c>
      <c r="X31" s="26" t="str">
        <f t="shared" si="1"/>
        <v>No Review</v>
      </c>
    </row>
    <row r="32" spans="1:24">
      <c r="A32" s="27" t="s">
        <v>43</v>
      </c>
      <c r="B32" s="28" t="s">
        <v>83</v>
      </c>
      <c r="C32" s="28">
        <v>35</v>
      </c>
      <c r="D32" s="28" t="s">
        <v>93</v>
      </c>
      <c r="E32" s="28" t="s">
        <v>97</v>
      </c>
      <c r="F32" s="28" t="s">
        <v>102</v>
      </c>
      <c r="G32" s="29">
        <v>46113</v>
      </c>
      <c r="H32" s="29">
        <v>46117</v>
      </c>
      <c r="I32" s="28" t="s">
        <v>115</v>
      </c>
      <c r="J32" s="28" t="s">
        <v>118</v>
      </c>
      <c r="K32" s="28">
        <v>14000</v>
      </c>
      <c r="L32" s="28" t="s">
        <v>121</v>
      </c>
      <c r="M32" s="28">
        <v>4</v>
      </c>
      <c r="N32" s="30" t="str">
        <f t="shared" si="2"/>
        <v>No Action</v>
      </c>
      <c r="O32" s="30" t="str">
        <f t="shared" si="3"/>
        <v>Normal Bill</v>
      </c>
      <c r="P32" s="30" t="str">
        <f t="shared" si="0"/>
        <v>Non- Senior</v>
      </c>
      <c r="Q32" s="30" t="str">
        <f t="shared" si="4"/>
        <v>Not a High Billing Case</v>
      </c>
      <c r="R32" s="28" t="str">
        <f>IF(AND(Patient_Data!L32="Pending",Patient_Data!K32&gt;30000),"Urgent Patient Follow-up","Follow-up not Required")</f>
        <v>Follow-up not Required</v>
      </c>
      <c r="S32" s="30" t="str">
        <f>IF(OR(Patient_Data!E32="Cardiology",Patient_Data!E32="Neurology"),"Priority Dept","RegularDept")</f>
        <v>RegularDept</v>
      </c>
      <c r="T32" s="30" t="str">
        <f>IF(NOT(Patient_Data!L32="pending"),"Payment Completed","Payment Pending")</f>
        <v>Payment Completed</v>
      </c>
      <c r="U32" s="28" t="str" cm="1">
        <f t="array" ref="U32">_xlfn.SWITCH(TRUE,K32&gt;=50000,"VH",K32&gt;=30000,"High",K32&gt;=15000,"Medium",K32&lt;15000,"Low")</f>
        <v>Low</v>
      </c>
      <c r="V32" s="30" t="str">
        <f t="shared" si="5"/>
        <v>Low</v>
      </c>
      <c r="W32" s="30" t="str">
        <f>IF(AND(Patient_Data!K32&gt;40000,Patient_Data!L32="Pending"),"high Financial Risk","Normal")</f>
        <v>Normal</v>
      </c>
      <c r="X32" s="30" t="str">
        <f t="shared" si="1"/>
        <v>No Review</v>
      </c>
    </row>
    <row r="33" spans="1:24">
      <c r="A33" s="23" t="s">
        <v>44</v>
      </c>
      <c r="B33" s="24" t="s">
        <v>84</v>
      </c>
      <c r="C33" s="24">
        <v>62</v>
      </c>
      <c r="D33" s="24" t="s">
        <v>94</v>
      </c>
      <c r="E33" s="24" t="s">
        <v>98</v>
      </c>
      <c r="F33" s="24" t="s">
        <v>110</v>
      </c>
      <c r="G33" s="25">
        <v>46115</v>
      </c>
      <c r="H33" s="25">
        <v>46122</v>
      </c>
      <c r="I33" s="24" t="s">
        <v>116</v>
      </c>
      <c r="J33" s="24" t="s">
        <v>119</v>
      </c>
      <c r="K33" s="24">
        <v>41000</v>
      </c>
      <c r="L33" s="24" t="s">
        <v>122</v>
      </c>
      <c r="M33" s="24">
        <v>7</v>
      </c>
      <c r="N33" s="26" t="str">
        <f t="shared" si="2"/>
        <v>follow Up</v>
      </c>
      <c r="O33" s="26" t="str">
        <f t="shared" si="3"/>
        <v>high Bill</v>
      </c>
      <c r="P33" s="26" t="str">
        <f t="shared" si="0"/>
        <v>Senior Citizen</v>
      </c>
      <c r="Q33" s="26" t="str">
        <f t="shared" si="4"/>
        <v>High Billing Case</v>
      </c>
      <c r="R33" s="24" t="str">
        <f>IF(AND(Patient_Data!L33="Pending",Patient_Data!K33&gt;30000),"Urgent Patient Follow-up","Follow-up not Required")</f>
        <v>Urgent Patient Follow-up</v>
      </c>
      <c r="S33" s="26" t="str">
        <f>IF(OR(Patient_Data!E33="Cardiology",Patient_Data!E33="Neurology"),"Priority Dept","RegularDept")</f>
        <v>Priority Dept</v>
      </c>
      <c r="T33" s="26" t="str">
        <f>IF(NOT(Patient_Data!L33="pending"),"Payment Completed","Payment Pending")</f>
        <v>Payment Pending</v>
      </c>
      <c r="U33" s="24" t="str" cm="1">
        <f t="array" ref="U33">_xlfn.SWITCH(TRUE,K33&gt;=50000,"VH",K33&gt;=30000,"High",K33&gt;=15000,"Medium",K33&lt;15000,"Low")</f>
        <v>High</v>
      </c>
      <c r="V33" s="26" t="str">
        <f t="shared" si="5"/>
        <v>High</v>
      </c>
      <c r="W33" s="26" t="str">
        <f>IF(AND(Patient_Data!K33&gt;40000,Patient_Data!L33="Pending"),"high Financial Risk","Normal")</f>
        <v>high Financial Risk</v>
      </c>
      <c r="X33" s="26" t="str">
        <f t="shared" si="1"/>
        <v>No Review</v>
      </c>
    </row>
    <row r="34" spans="1:24">
      <c r="A34" s="27" t="s">
        <v>45</v>
      </c>
      <c r="B34" s="28" t="s">
        <v>85</v>
      </c>
      <c r="C34" s="28">
        <v>49</v>
      </c>
      <c r="D34" s="28" t="s">
        <v>93</v>
      </c>
      <c r="E34" s="28" t="s">
        <v>96</v>
      </c>
      <c r="F34" s="28" t="s">
        <v>101</v>
      </c>
      <c r="G34" s="29">
        <v>46117</v>
      </c>
      <c r="H34" s="29">
        <v>46126</v>
      </c>
      <c r="I34" s="28" t="s">
        <v>114</v>
      </c>
      <c r="J34" s="28" t="s">
        <v>118</v>
      </c>
      <c r="K34" s="28">
        <v>47000</v>
      </c>
      <c r="L34" s="28" t="s">
        <v>121</v>
      </c>
      <c r="M34" s="28">
        <v>9</v>
      </c>
      <c r="N34" s="30" t="str">
        <f t="shared" si="2"/>
        <v>No Action</v>
      </c>
      <c r="O34" s="30" t="str">
        <f t="shared" si="3"/>
        <v>high Bill</v>
      </c>
      <c r="P34" s="30" t="str">
        <f t="shared" si="0"/>
        <v>Non- Senior</v>
      </c>
      <c r="Q34" s="30" t="str">
        <f t="shared" si="4"/>
        <v>High Billing Case</v>
      </c>
      <c r="R34" s="28" t="str">
        <f>IF(AND(Patient_Data!L34="Pending",Patient_Data!K34&gt;30000),"Urgent Patient Follow-up","Follow-up not Required")</f>
        <v>Follow-up not Required</v>
      </c>
      <c r="S34" s="30" t="str">
        <f>IF(OR(Patient_Data!E34="Cardiology",Patient_Data!E34="Neurology"),"Priority Dept","RegularDept")</f>
        <v>RegularDept</v>
      </c>
      <c r="T34" s="30" t="str">
        <f>IF(NOT(Patient_Data!L34="pending"),"Payment Completed","Payment Pending")</f>
        <v>Payment Completed</v>
      </c>
      <c r="U34" s="28" t="str" cm="1">
        <f t="array" ref="U34">_xlfn.SWITCH(TRUE,K34&gt;=50000,"VH",K34&gt;=30000,"High",K34&gt;=15000,"Medium",K34&lt;15000,"Low")</f>
        <v>High</v>
      </c>
      <c r="V34" s="30" t="str">
        <f t="shared" si="5"/>
        <v>High</v>
      </c>
      <c r="W34" s="30" t="str">
        <f>IF(AND(Patient_Data!K34&gt;40000,Patient_Data!L34="Pending"),"high Financial Risk","Normal")</f>
        <v>Normal</v>
      </c>
      <c r="X34" s="30" t="str">
        <f t="shared" si="1"/>
        <v>MR</v>
      </c>
    </row>
    <row r="35" spans="1:24">
      <c r="A35" s="23" t="s">
        <v>46</v>
      </c>
      <c r="B35" s="24" t="s">
        <v>86</v>
      </c>
      <c r="C35" s="24">
        <v>38</v>
      </c>
      <c r="D35" s="24" t="s">
        <v>94</v>
      </c>
      <c r="E35" s="24" t="s">
        <v>99</v>
      </c>
      <c r="F35" s="24" t="s">
        <v>112</v>
      </c>
      <c r="G35" s="25">
        <v>46119</v>
      </c>
      <c r="H35" s="25">
        <v>46123</v>
      </c>
      <c r="I35" s="24" t="s">
        <v>117</v>
      </c>
      <c r="J35" s="24" t="s">
        <v>120</v>
      </c>
      <c r="K35" s="24">
        <v>17000</v>
      </c>
      <c r="L35" s="24" t="s">
        <v>121</v>
      </c>
      <c r="M35" s="24">
        <v>4</v>
      </c>
      <c r="N35" s="26" t="str">
        <f t="shared" si="2"/>
        <v>No Action</v>
      </c>
      <c r="O35" s="26" t="str">
        <f t="shared" si="3"/>
        <v>Normal Bill</v>
      </c>
      <c r="P35" s="26" t="str">
        <f t="shared" si="0"/>
        <v>Non- Senior</v>
      </c>
      <c r="Q35" s="26" t="str">
        <f t="shared" si="4"/>
        <v>Not a High Billing Case</v>
      </c>
      <c r="R35" s="24" t="str">
        <f>IF(AND(Patient_Data!L35="Pending",Patient_Data!K35&gt;30000),"Urgent Patient Follow-up","Follow-up not Required")</f>
        <v>Follow-up not Required</v>
      </c>
      <c r="S35" s="26" t="str">
        <f>IF(OR(Patient_Data!E35="Cardiology",Patient_Data!E35="Neurology"),"Priority Dept","RegularDept")</f>
        <v>RegularDept</v>
      </c>
      <c r="T35" s="26" t="str">
        <f>IF(NOT(Patient_Data!L35="pending"),"Payment Completed","Payment Pending")</f>
        <v>Payment Completed</v>
      </c>
      <c r="U35" s="24" t="str" cm="1">
        <f t="array" ref="U35">_xlfn.SWITCH(TRUE,K35&gt;=50000,"VH",K35&gt;=30000,"High",K35&gt;=15000,"Medium",K35&lt;15000,"Low")</f>
        <v>Medium</v>
      </c>
      <c r="V35" s="26" t="str">
        <f t="shared" si="5"/>
        <v>medium</v>
      </c>
      <c r="W35" s="26" t="str">
        <f>IF(AND(Patient_Data!K35&gt;40000,Patient_Data!L35="Pending"),"high Financial Risk","Normal")</f>
        <v>Normal</v>
      </c>
      <c r="X35" s="26" t="str">
        <f t="shared" si="1"/>
        <v>No Review</v>
      </c>
    </row>
    <row r="36" spans="1:24">
      <c r="A36" s="27" t="s">
        <v>47</v>
      </c>
      <c r="B36" s="28" t="s">
        <v>87</v>
      </c>
      <c r="C36" s="28">
        <v>66</v>
      </c>
      <c r="D36" s="28" t="s">
        <v>93</v>
      </c>
      <c r="E36" s="28" t="s">
        <v>95</v>
      </c>
      <c r="F36" s="28" t="s">
        <v>103</v>
      </c>
      <c r="G36" s="29">
        <v>46122</v>
      </c>
      <c r="H36" s="29">
        <v>46128</v>
      </c>
      <c r="I36" s="28" t="s">
        <v>113</v>
      </c>
      <c r="J36" s="28" t="s">
        <v>119</v>
      </c>
      <c r="K36" s="28">
        <v>35000</v>
      </c>
      <c r="L36" s="28" t="s">
        <v>122</v>
      </c>
      <c r="M36" s="28">
        <v>6</v>
      </c>
      <c r="N36" s="30" t="str">
        <f t="shared" si="2"/>
        <v>follow Up</v>
      </c>
      <c r="O36" s="30" t="str">
        <f t="shared" si="3"/>
        <v>Normal Bill</v>
      </c>
      <c r="P36" s="30" t="str">
        <f t="shared" si="0"/>
        <v>Senior Citizen</v>
      </c>
      <c r="Q36" s="30" t="str">
        <f t="shared" si="4"/>
        <v>Not a High Billing Case</v>
      </c>
      <c r="R36" s="28" t="str">
        <f>IF(AND(Patient_Data!L36="Pending",Patient_Data!K36&gt;30000),"Urgent Patient Follow-up","Follow-up not Required")</f>
        <v>Urgent Patient Follow-up</v>
      </c>
      <c r="S36" s="30" t="str">
        <f>IF(OR(Patient_Data!E36="Cardiology",Patient_Data!E36="Neurology"),"Priority Dept","RegularDept")</f>
        <v>Priority Dept</v>
      </c>
      <c r="T36" s="30" t="str">
        <f>IF(NOT(Patient_Data!L36="pending"),"Payment Completed","Payment Pending")</f>
        <v>Payment Pending</v>
      </c>
      <c r="U36" s="28" t="str" cm="1">
        <f t="array" ref="U36">_xlfn.SWITCH(TRUE,K36&gt;=50000,"VH",K36&gt;=30000,"High",K36&gt;=15000,"Medium",K36&lt;15000,"Low")</f>
        <v>High</v>
      </c>
      <c r="V36" s="30" t="str">
        <f t="shared" si="5"/>
        <v>High</v>
      </c>
      <c r="W36" s="30" t="str">
        <f>IF(AND(Patient_Data!K36&gt;40000,Patient_Data!L36="Pending"),"high Financial Risk","Normal")</f>
        <v>Normal</v>
      </c>
      <c r="X36" s="30" t="str">
        <f t="shared" si="1"/>
        <v>MR</v>
      </c>
    </row>
    <row r="37" spans="1:24">
      <c r="A37" s="23" t="s">
        <v>48</v>
      </c>
      <c r="B37" s="24" t="s">
        <v>88</v>
      </c>
      <c r="C37" s="24">
        <v>26</v>
      </c>
      <c r="D37" s="24" t="s">
        <v>94</v>
      </c>
      <c r="E37" s="24" t="s">
        <v>97</v>
      </c>
      <c r="F37" s="24" t="s">
        <v>109</v>
      </c>
      <c r="G37" s="25">
        <v>46124</v>
      </c>
      <c r="H37" s="25">
        <v>46126</v>
      </c>
      <c r="I37" s="24" t="s">
        <v>115</v>
      </c>
      <c r="J37" s="24" t="s">
        <v>120</v>
      </c>
      <c r="K37" s="24">
        <v>5800</v>
      </c>
      <c r="L37" s="24" t="s">
        <v>121</v>
      </c>
      <c r="M37" s="24">
        <v>2</v>
      </c>
      <c r="N37" s="26" t="str">
        <f t="shared" si="2"/>
        <v>No Action</v>
      </c>
      <c r="O37" s="26" t="str">
        <f t="shared" si="3"/>
        <v>Normal Bill</v>
      </c>
      <c r="P37" s="26" t="str">
        <f t="shared" si="0"/>
        <v>Non- Senior</v>
      </c>
      <c r="Q37" s="26" t="str">
        <f t="shared" si="4"/>
        <v>Not a High Billing Case</v>
      </c>
      <c r="R37" s="24" t="str">
        <f>IF(AND(Patient_Data!L37="Pending",Patient_Data!K37&gt;30000),"Urgent Patient Follow-up","Follow-up not Required")</f>
        <v>Follow-up not Required</v>
      </c>
      <c r="S37" s="26" t="str">
        <f>IF(OR(Patient_Data!E37="Cardiology",Patient_Data!E37="Neurology"),"Priority Dept","RegularDept")</f>
        <v>RegularDept</v>
      </c>
      <c r="T37" s="26" t="str">
        <f>IF(NOT(Patient_Data!L37="pending"),"Payment Completed","Payment Pending")</f>
        <v>Payment Completed</v>
      </c>
      <c r="U37" s="24" t="str" cm="1">
        <f t="array" ref="U37">_xlfn.SWITCH(TRUE,K37&gt;=50000,"VH",K37&gt;=30000,"High",K37&gt;=15000,"Medium",K37&lt;15000,"Low")</f>
        <v>Low</v>
      </c>
      <c r="V37" s="26" t="str">
        <f t="shared" si="5"/>
        <v>Low</v>
      </c>
      <c r="W37" s="26" t="str">
        <f>IF(AND(Patient_Data!K37&gt;40000,Patient_Data!L37="Pending"),"high Financial Risk","Normal")</f>
        <v>Normal</v>
      </c>
      <c r="X37" s="26" t="str">
        <f t="shared" si="1"/>
        <v>No Review</v>
      </c>
    </row>
    <row r="38" spans="1:24">
      <c r="A38" s="27" t="s">
        <v>49</v>
      </c>
      <c r="B38" s="28" t="s">
        <v>89</v>
      </c>
      <c r="C38" s="28">
        <v>54</v>
      </c>
      <c r="D38" s="28" t="s">
        <v>93</v>
      </c>
      <c r="E38" s="28" t="s">
        <v>96</v>
      </c>
      <c r="F38" s="28" t="s">
        <v>111</v>
      </c>
      <c r="G38" s="29">
        <v>46127</v>
      </c>
      <c r="H38" s="29">
        <v>46131</v>
      </c>
      <c r="I38" s="28" t="s">
        <v>114</v>
      </c>
      <c r="J38" s="28" t="s">
        <v>118</v>
      </c>
      <c r="K38" s="28">
        <v>19000</v>
      </c>
      <c r="L38" s="28" t="s">
        <v>121</v>
      </c>
      <c r="M38" s="28">
        <v>4</v>
      </c>
      <c r="N38" s="30" t="str">
        <f t="shared" si="2"/>
        <v>No Action</v>
      </c>
      <c r="O38" s="30" t="str">
        <f t="shared" si="3"/>
        <v>Normal Bill</v>
      </c>
      <c r="P38" s="30" t="str">
        <f t="shared" si="0"/>
        <v>Non- Senior</v>
      </c>
      <c r="Q38" s="30" t="str">
        <f t="shared" si="4"/>
        <v>Not a High Billing Case</v>
      </c>
      <c r="R38" s="28" t="str">
        <f>IF(AND(Patient_Data!L38="Pending",Patient_Data!K38&gt;30000),"Urgent Patient Follow-up","Follow-up not Required")</f>
        <v>Follow-up not Required</v>
      </c>
      <c r="S38" s="30" t="str">
        <f>IF(OR(Patient_Data!E38="Cardiology",Patient_Data!E38="Neurology"),"Priority Dept","RegularDept")</f>
        <v>RegularDept</v>
      </c>
      <c r="T38" s="30" t="str">
        <f>IF(NOT(Patient_Data!L38="pending"),"Payment Completed","Payment Pending")</f>
        <v>Payment Completed</v>
      </c>
      <c r="U38" s="28" t="str" cm="1">
        <f t="array" ref="U38">_xlfn.SWITCH(TRUE,K38&gt;=50000,"VH",K38&gt;=30000,"High",K38&gt;=15000,"Medium",K38&lt;15000,"Low")</f>
        <v>Medium</v>
      </c>
      <c r="V38" s="30" t="str">
        <f t="shared" si="5"/>
        <v>medium</v>
      </c>
      <c r="W38" s="30" t="str">
        <f>IF(AND(Patient_Data!K38&gt;40000,Patient_Data!L38="Pending"),"high Financial Risk","Normal")</f>
        <v>Normal</v>
      </c>
      <c r="X38" s="30" t="str">
        <f t="shared" si="1"/>
        <v>No Review</v>
      </c>
    </row>
    <row r="39" spans="1:24">
      <c r="A39" s="23" t="s">
        <v>50</v>
      </c>
      <c r="B39" s="24" t="s">
        <v>90</v>
      </c>
      <c r="C39" s="24">
        <v>43</v>
      </c>
      <c r="D39" s="24" t="s">
        <v>94</v>
      </c>
      <c r="E39" s="24" t="s">
        <v>98</v>
      </c>
      <c r="F39" s="24" t="s">
        <v>104</v>
      </c>
      <c r="G39" s="25">
        <v>46130</v>
      </c>
      <c r="H39" s="25">
        <v>46132</v>
      </c>
      <c r="I39" s="24" t="s">
        <v>116</v>
      </c>
      <c r="J39" s="24" t="s">
        <v>120</v>
      </c>
      <c r="K39" s="24">
        <v>8500</v>
      </c>
      <c r="L39" s="24" t="s">
        <v>121</v>
      </c>
      <c r="M39" s="24">
        <v>2</v>
      </c>
      <c r="N39" s="26" t="str">
        <f t="shared" si="2"/>
        <v>No Action</v>
      </c>
      <c r="O39" s="26" t="str">
        <f t="shared" si="3"/>
        <v>Normal Bill</v>
      </c>
      <c r="P39" s="26" t="str">
        <f t="shared" si="0"/>
        <v>Non- Senior</v>
      </c>
      <c r="Q39" s="26" t="str">
        <f t="shared" si="4"/>
        <v>Not a High Billing Case</v>
      </c>
      <c r="R39" s="24" t="str">
        <f>IF(AND(Patient_Data!L39="Pending",Patient_Data!K39&gt;30000),"Urgent Patient Follow-up","Follow-up not Required")</f>
        <v>Follow-up not Required</v>
      </c>
      <c r="S39" s="26" t="str">
        <f>IF(OR(Patient_Data!E39="Cardiology",Patient_Data!E39="Neurology"),"Priority Dept","RegularDept")</f>
        <v>Priority Dept</v>
      </c>
      <c r="T39" s="26" t="str">
        <f>IF(NOT(Patient_Data!L39="pending"),"Payment Completed","Payment Pending")</f>
        <v>Payment Completed</v>
      </c>
      <c r="U39" s="24" t="str" cm="1">
        <f t="array" ref="U39">_xlfn.SWITCH(TRUE,K39&gt;=50000,"VH",K39&gt;=30000,"High",K39&gt;=15000,"Medium",K39&lt;15000,"Low")</f>
        <v>Low</v>
      </c>
      <c r="V39" s="26" t="str">
        <f t="shared" si="5"/>
        <v>Low</v>
      </c>
      <c r="W39" s="26" t="str">
        <f>IF(AND(Patient_Data!K39&gt;40000,Patient_Data!L39="Pending"),"high Financial Risk","Normal")</f>
        <v>Normal</v>
      </c>
      <c r="X39" s="26" t="str">
        <f t="shared" si="1"/>
        <v>No Review</v>
      </c>
    </row>
    <row r="40" spans="1:24">
      <c r="A40" s="27" t="s">
        <v>51</v>
      </c>
      <c r="B40" s="28" t="s">
        <v>91</v>
      </c>
      <c r="C40" s="28">
        <v>71</v>
      </c>
      <c r="D40" s="28" t="s">
        <v>93</v>
      </c>
      <c r="E40" s="28" t="s">
        <v>99</v>
      </c>
      <c r="F40" s="28" t="s">
        <v>107</v>
      </c>
      <c r="G40" s="29">
        <v>46132</v>
      </c>
      <c r="H40" s="29">
        <v>46136</v>
      </c>
      <c r="I40" s="28" t="s">
        <v>117</v>
      </c>
      <c r="J40" s="28" t="s">
        <v>119</v>
      </c>
      <c r="K40" s="28">
        <v>12500</v>
      </c>
      <c r="L40" s="28" t="s">
        <v>122</v>
      </c>
      <c r="M40" s="28">
        <v>4</v>
      </c>
      <c r="N40" s="30" t="str">
        <f t="shared" si="2"/>
        <v>follow Up</v>
      </c>
      <c r="O40" s="30" t="str">
        <f t="shared" si="3"/>
        <v>Normal Bill</v>
      </c>
      <c r="P40" s="30" t="str">
        <f t="shared" si="0"/>
        <v>Senior Citizen</v>
      </c>
      <c r="Q40" s="30" t="str">
        <f t="shared" si="4"/>
        <v>Not a High Billing Case</v>
      </c>
      <c r="R40" s="28" t="str">
        <f>IF(AND(Patient_Data!L40="Pending",Patient_Data!K40&gt;30000),"Urgent Patient Follow-up","Follow-up not Required")</f>
        <v>Follow-up not Required</v>
      </c>
      <c r="S40" s="30" t="str">
        <f>IF(OR(Patient_Data!E40="Cardiology",Patient_Data!E40="Neurology"),"Priority Dept","RegularDept")</f>
        <v>RegularDept</v>
      </c>
      <c r="T40" s="30" t="str">
        <f>IF(NOT(Patient_Data!L40="pending"),"Payment Completed","Payment Pending")</f>
        <v>Payment Pending</v>
      </c>
      <c r="U40" s="28" t="str" cm="1">
        <f t="array" ref="U40">_xlfn.SWITCH(TRUE,K40&gt;=50000,"VH",K40&gt;=30000,"High",K40&gt;=15000,"Medium",K40&lt;15000,"Low")</f>
        <v>Low</v>
      </c>
      <c r="V40" s="30" t="str">
        <f t="shared" si="5"/>
        <v>Low</v>
      </c>
      <c r="W40" s="30" t="str">
        <f>IF(AND(Patient_Data!K40&gt;40000,Patient_Data!L40="Pending"),"high Financial Risk","Normal")</f>
        <v>Normal</v>
      </c>
      <c r="X40" s="30" t="str">
        <f t="shared" si="1"/>
        <v>No Review</v>
      </c>
    </row>
    <row r="41" spans="1:24">
      <c r="A41" s="23" t="s">
        <v>52</v>
      </c>
      <c r="B41" s="24" t="s">
        <v>92</v>
      </c>
      <c r="C41" s="24">
        <v>50</v>
      </c>
      <c r="D41" s="24" t="s">
        <v>94</v>
      </c>
      <c r="E41" s="24" t="s">
        <v>95</v>
      </c>
      <c r="F41" s="24" t="s">
        <v>106</v>
      </c>
      <c r="G41" s="25">
        <v>46134</v>
      </c>
      <c r="H41" s="25">
        <v>46144</v>
      </c>
      <c r="I41" s="24" t="s">
        <v>113</v>
      </c>
      <c r="J41" s="24" t="s">
        <v>118</v>
      </c>
      <c r="K41" s="24">
        <v>69000</v>
      </c>
      <c r="L41" s="24" t="s">
        <v>121</v>
      </c>
      <c r="M41" s="24">
        <v>10</v>
      </c>
      <c r="N41" s="26" t="str">
        <f t="shared" si="2"/>
        <v>No Action</v>
      </c>
      <c r="O41" s="26" t="str">
        <f t="shared" si="3"/>
        <v>high Bill</v>
      </c>
      <c r="P41" s="26" t="str">
        <f t="shared" si="0"/>
        <v>Non- Senior</v>
      </c>
      <c r="Q41" s="26" t="str">
        <f t="shared" si="4"/>
        <v>High Billing Case</v>
      </c>
      <c r="R41" s="24" t="str">
        <f>IF(AND(Patient_Data!L41="Pending",Patient_Data!K41&gt;30000),"Urgent Patient Follow-up","Follow-up not Required")</f>
        <v>Follow-up not Required</v>
      </c>
      <c r="S41" s="26" t="str">
        <f>IF(OR(Patient_Data!E41="Cardiology",Patient_Data!E41="Neurology"),"Priority Dept","RegularDept")</f>
        <v>Priority Dept</v>
      </c>
      <c r="T41" s="26" t="str">
        <f>IF(NOT(Patient_Data!L41="pending"),"Payment Completed","Payment Pending")</f>
        <v>Payment Completed</v>
      </c>
      <c r="U41" s="24" t="str" cm="1">
        <f t="array" ref="U41">_xlfn.SWITCH(TRUE,K41&gt;=50000,"VH",K41&gt;=30000,"High",K41&gt;=15000,"Medium",K41&lt;15000,"Low")</f>
        <v>VH</v>
      </c>
      <c r="V41" s="26" t="str">
        <f t="shared" si="5"/>
        <v>VH</v>
      </c>
      <c r="W41" s="26" t="str">
        <f>IF(AND(Patient_Data!K41&gt;40000,Patient_Data!L41="Pending"),"high Financial Risk","Normal")</f>
        <v>Normal</v>
      </c>
      <c r="X41" s="26" t="str">
        <f t="shared" si="1"/>
        <v>MR</v>
      </c>
    </row>
    <row r="42" spans="1:24">
      <c r="K42" s="13"/>
    </row>
    <row r="44" spans="1:24">
      <c r="K44" s="14" t="s">
        <v>4</v>
      </c>
    </row>
    <row r="45" spans="1:24">
      <c r="K45" s="14" t="s">
        <v>99</v>
      </c>
    </row>
    <row r="47" spans="1:24">
      <c r="E47" t="s">
        <v>123</v>
      </c>
      <c r="G47" s="13">
        <f>SUM(Bills)</f>
        <v>1019500</v>
      </c>
    </row>
    <row r="48" spans="1:24">
      <c r="E48" t="s">
        <v>138</v>
      </c>
      <c r="G48" s="13">
        <f>SUMIF(Department,"Cardiology",Bills)</f>
        <v>443500</v>
      </c>
    </row>
    <row r="49" spans="5:11">
      <c r="E49" t="s">
        <v>139</v>
      </c>
      <c r="G49">
        <f>COUNTIF(Department,"Dermatology")</f>
        <v>7</v>
      </c>
      <c r="K49">
        <f>DSUM(A2:X41,11,K44:K45)</f>
        <v>0</v>
      </c>
    </row>
    <row r="50" spans="5:11">
      <c r="E50" t="s">
        <v>140</v>
      </c>
      <c r="G50" s="12">
        <f>AVERAGEIF(Department,"Neurology",Bills)</f>
        <v>25571.428571428572</v>
      </c>
      <c r="K50">
        <f>DSUM(A2:X41,11,K44:K45)</f>
        <v>0</v>
      </c>
    </row>
    <row r="51" spans="5:11">
      <c r="E51" t="s">
        <v>124</v>
      </c>
      <c r="G51" s="13">
        <f>SUMIF(J2:J41,"Government",Bills)</f>
        <v>499500</v>
      </c>
    </row>
    <row r="52" spans="5:11">
      <c r="E52" t="s">
        <v>125</v>
      </c>
      <c r="G52">
        <f>COUNTIF(L2:L41,"Pending")</f>
        <v>10</v>
      </c>
    </row>
    <row r="53" spans="5:11">
      <c r="E53" t="s">
        <v>126</v>
      </c>
      <c r="G53" s="13">
        <f>SUMIF(L2:L41,"Pending",Bills)</f>
        <v>344500</v>
      </c>
    </row>
    <row r="54" spans="5:11">
      <c r="E54" t="s">
        <v>127</v>
      </c>
      <c r="H54" s="13">
        <f>SUMIFS(Bills,Department,"Cardiology",J2:J41,"Government")</f>
        <v>275500</v>
      </c>
    </row>
    <row r="55" spans="5:11">
      <c r="E55" t="s">
        <v>128</v>
      </c>
      <c r="H55">
        <f>COUNTIFS(Department,"Cardiology",L2:L41,"Pending")</f>
        <v>4</v>
      </c>
    </row>
    <row r="56" spans="5:11">
      <c r="E56" t="s">
        <v>129</v>
      </c>
      <c r="H56" s="12">
        <f>AVERAGEIF(J2:J41,"Private Insurance",Bills)</f>
        <v>25766.666666666668</v>
      </c>
    </row>
    <row r="57" spans="5:11">
      <c r="E57" t="s">
        <v>130</v>
      </c>
      <c r="H57">
        <f>COUNTIF(Bills,"&gt;40000")</f>
        <v>9</v>
      </c>
    </row>
    <row r="58" spans="5:11">
      <c r="E58" t="s">
        <v>131</v>
      </c>
      <c r="H58" s="13">
        <f>SUMIF(Bills,"&gt;40000",Bills)</f>
        <v>508000</v>
      </c>
    </row>
    <row r="59" spans="5:11">
      <c r="E59" t="s">
        <v>132</v>
      </c>
      <c r="H59">
        <f>COUNTIF(M2:M41,"&gt;5")</f>
        <v>11</v>
      </c>
    </row>
    <row r="60" spans="5:11">
      <c r="E60" t="s">
        <v>133</v>
      </c>
      <c r="H60" s="13">
        <f>SUMIF(M2:M41,"&gt;5",Bills)</f>
        <v>582000</v>
      </c>
    </row>
    <row r="61" spans="5:11">
      <c r="E61" t="s">
        <v>134</v>
      </c>
      <c r="H61" s="13">
        <f>SUMIFS(Bills,Department,"Cardiology",M2:M41,"&gt;5")</f>
        <v>320000</v>
      </c>
    </row>
    <row r="62" spans="5:11">
      <c r="E62" t="s">
        <v>135</v>
      </c>
      <c r="H62">
        <f>AVERAGEIF(L2:L41,"pending",M2:M41)</f>
        <v>5.8</v>
      </c>
    </row>
    <row r="63" spans="5:11">
      <c r="E63" t="s">
        <v>136</v>
      </c>
      <c r="H63" s="13">
        <f>_xlfn.MAXIFS(Bills,Department,"Cardiology")</f>
        <v>76000</v>
      </c>
    </row>
    <row r="64" spans="5:11">
      <c r="E64" t="s">
        <v>137</v>
      </c>
      <c r="H64" s="13">
        <f>_xlfn.MINIFS(Bills,Department,E2)</f>
        <v>18500</v>
      </c>
    </row>
    <row r="65" spans="5:8">
      <c r="E65" t="s">
        <v>141</v>
      </c>
      <c r="H65">
        <f>COUNTIFS(Department,"Cardiology",L2:L41,"Pending")</f>
        <v>4</v>
      </c>
    </row>
    <row r="66" spans="5:8">
      <c r="E66" t="s">
        <v>142</v>
      </c>
      <c r="H66" s="13">
        <f>AVERAGEIFS(Bills,Department,"Cardiology",J2:J41,"Government")</f>
        <v>55100</v>
      </c>
    </row>
  </sheetData>
  <phoneticPr fontId="3" type="noConversion"/>
  <dataValidations count="3">
    <dataValidation type="list" allowBlank="1" showInputMessage="1" showErrorMessage="1" sqref="Z9" xr:uid="{E547A38A-A36E-4C87-994F-6DE728302A01}">
      <formula1>"""male"",""female"""</formula1>
    </dataValidation>
    <dataValidation type="whole" operator="greaterThanOrEqual" allowBlank="1" showInputMessage="1" showErrorMessage="1" sqref="Z11" xr:uid="{C0E866DE-D70D-48EE-93DD-96662597591B}">
      <formula1>10</formula1>
    </dataValidation>
    <dataValidation type="whole" operator="lessThanOrEqual" allowBlank="1" showInputMessage="1" showErrorMessage="1" sqref="AC8" xr:uid="{54E95D85-199D-4C3E-B46A-01FA002BFEDF}">
      <formula1>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workbookViewId="0">
      <selection activeCell="B34" sqref="B34"/>
    </sheetView>
  </sheetViews>
  <sheetFormatPr defaultRowHeight="14.4"/>
  <cols>
    <col min="1" max="1" width="98.109375" customWidth="1"/>
    <col min="2" max="2" width="14" customWidth="1"/>
  </cols>
  <sheetData>
    <row r="1" spans="1:1">
      <c r="A1" s="8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9" t="s">
        <v>190</v>
      </c>
    </row>
    <row r="7" spans="1:1">
      <c r="A7" s="9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9"/>
    </row>
    <row r="13" spans="1:1">
      <c r="A13" t="s">
        <v>195</v>
      </c>
    </row>
    <row r="14" spans="1:1">
      <c r="A14" s="9" t="s">
        <v>196</v>
      </c>
    </row>
    <row r="15" spans="1:1">
      <c r="A15" s="10" t="s">
        <v>197</v>
      </c>
    </row>
    <row r="16" spans="1:1">
      <c r="A16" s="9" t="s">
        <v>198</v>
      </c>
    </row>
    <row r="18" spans="1:3">
      <c r="A18" t="s">
        <v>199</v>
      </c>
    </row>
    <row r="19" spans="1:3">
      <c r="A19" s="9" t="s">
        <v>200</v>
      </c>
    </row>
    <row r="20" spans="1:3">
      <c r="A20" s="9" t="s">
        <v>197</v>
      </c>
    </row>
    <row r="21" spans="1:3">
      <c r="A21" s="9" t="s">
        <v>201</v>
      </c>
    </row>
    <row r="23" spans="1:3">
      <c r="A23" t="s">
        <v>202</v>
      </c>
    </row>
    <row r="24" spans="1:3">
      <c r="A24" s="9" t="s">
        <v>203</v>
      </c>
    </row>
    <row r="25" spans="1:3">
      <c r="A25" s="9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1"/>
    </row>
    <row r="30" spans="1:3">
      <c r="A30" t="s">
        <v>207</v>
      </c>
      <c r="B30" s="2" t="s">
        <v>208</v>
      </c>
      <c r="C30" s="3" t="s">
        <v>209</v>
      </c>
    </row>
    <row r="31" spans="1:3">
      <c r="B31" s="1" t="s">
        <v>210</v>
      </c>
      <c r="C31" s="4" t="s">
        <v>211</v>
      </c>
    </row>
    <row r="32" spans="1:3">
      <c r="B32" s="1" t="s">
        <v>212</v>
      </c>
      <c r="C32" s="4" t="s">
        <v>213</v>
      </c>
    </row>
    <row r="33" spans="1:3">
      <c r="A33" s="11"/>
      <c r="B33" s="1" t="s">
        <v>214</v>
      </c>
      <c r="C33" s="4" t="s">
        <v>215</v>
      </c>
    </row>
    <row r="34" spans="1:3">
      <c r="B34" s="1" t="s">
        <v>216</v>
      </c>
      <c r="C34" s="4" t="s">
        <v>217</v>
      </c>
    </row>
    <row r="37" spans="1:3">
      <c r="A37" t="s">
        <v>218</v>
      </c>
    </row>
    <row r="38" spans="1:3">
      <c r="A38" s="9" t="s">
        <v>219</v>
      </c>
    </row>
    <row r="39" spans="1:3">
      <c r="A39" s="9" t="s">
        <v>220</v>
      </c>
    </row>
    <row r="40" spans="1:3">
      <c r="A40" t="s">
        <v>221</v>
      </c>
    </row>
    <row r="42" spans="1:3">
      <c r="A42" t="s">
        <v>224</v>
      </c>
    </row>
    <row r="43" spans="1:3">
      <c r="A43" s="9"/>
    </row>
    <row r="44" spans="1:3">
      <c r="A44" s="9" t="s">
        <v>225</v>
      </c>
    </row>
    <row r="45" spans="1:3">
      <c r="A45" s="10" t="s">
        <v>226</v>
      </c>
    </row>
    <row r="47" spans="1:3">
      <c r="A4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topLeftCell="A4" workbookViewId="0">
      <selection activeCell="C3" sqref="C3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2" t="s">
        <v>143</v>
      </c>
      <c r="B1" s="3" t="s">
        <v>144</v>
      </c>
      <c r="C1" s="3" t="s">
        <v>145</v>
      </c>
      <c r="D1" s="2" t="s">
        <v>146</v>
      </c>
    </row>
    <row r="2" spans="1:4">
      <c r="A2" s="1">
        <v>1</v>
      </c>
      <c r="B2" s="4" t="s">
        <v>147</v>
      </c>
      <c r="C2" s="5" t="s">
        <v>148</v>
      </c>
      <c r="D2" s="6">
        <v>1019500</v>
      </c>
    </row>
    <row r="3" spans="1:4">
      <c r="A3" s="1">
        <v>2</v>
      </c>
      <c r="B3" s="4" t="s">
        <v>149</v>
      </c>
      <c r="C3" s="5" t="s">
        <v>150</v>
      </c>
      <c r="D3" s="6">
        <v>443500</v>
      </c>
    </row>
    <row r="4" spans="1:4">
      <c r="A4" s="1">
        <v>2</v>
      </c>
      <c r="B4" s="4" t="s">
        <v>151</v>
      </c>
      <c r="C4" s="5" t="s">
        <v>150</v>
      </c>
      <c r="D4" s="6">
        <v>89500</v>
      </c>
    </row>
    <row r="5" spans="1:4">
      <c r="A5" s="1">
        <v>2</v>
      </c>
      <c r="B5" s="4" t="s">
        <v>152</v>
      </c>
      <c r="C5" s="5" t="s">
        <v>150</v>
      </c>
      <c r="D5" s="6">
        <v>77500</v>
      </c>
    </row>
    <row r="6" spans="1:4">
      <c r="A6" s="1">
        <v>2</v>
      </c>
      <c r="B6" s="4" t="s">
        <v>153</v>
      </c>
      <c r="C6" s="5" t="s">
        <v>150</v>
      </c>
      <c r="D6" s="6">
        <v>179000</v>
      </c>
    </row>
    <row r="7" spans="1:4">
      <c r="A7" s="1">
        <v>2</v>
      </c>
      <c r="B7" s="4" t="s">
        <v>154</v>
      </c>
      <c r="C7" s="5" t="s">
        <v>150</v>
      </c>
      <c r="D7" s="6">
        <v>230000</v>
      </c>
    </row>
    <row r="8" spans="1:4">
      <c r="A8" s="1">
        <v>3</v>
      </c>
      <c r="B8" s="4" t="s">
        <v>155</v>
      </c>
      <c r="C8" s="5" t="s">
        <v>156</v>
      </c>
      <c r="D8" s="2">
        <v>10</v>
      </c>
    </row>
    <row r="9" spans="1:4">
      <c r="A9" s="1">
        <v>3</v>
      </c>
      <c r="B9" s="4" t="s">
        <v>157</v>
      </c>
      <c r="C9" s="5" t="s">
        <v>156</v>
      </c>
      <c r="D9" s="2">
        <v>7</v>
      </c>
    </row>
    <row r="10" spans="1:4">
      <c r="A10" s="1">
        <v>3</v>
      </c>
      <c r="B10" s="4" t="s">
        <v>158</v>
      </c>
      <c r="C10" s="5" t="s">
        <v>156</v>
      </c>
      <c r="D10" s="2">
        <v>8</v>
      </c>
    </row>
    <row r="11" spans="1:4">
      <c r="A11" s="1">
        <v>3</v>
      </c>
      <c r="B11" s="4" t="s">
        <v>159</v>
      </c>
      <c r="C11" s="5" t="s">
        <v>156</v>
      </c>
      <c r="D11" s="2">
        <v>7</v>
      </c>
    </row>
    <row r="12" spans="1:4">
      <c r="A12" s="1">
        <v>3</v>
      </c>
      <c r="B12" s="4" t="s">
        <v>160</v>
      </c>
      <c r="C12" s="5" t="s">
        <v>156</v>
      </c>
      <c r="D12" s="2">
        <v>8</v>
      </c>
    </row>
    <row r="13" spans="1:4">
      <c r="A13" s="1">
        <v>4</v>
      </c>
      <c r="B13" s="4" t="s">
        <v>161</v>
      </c>
      <c r="C13" s="5" t="s">
        <v>162</v>
      </c>
      <c r="D13" s="6">
        <v>44350</v>
      </c>
    </row>
    <row r="14" spans="1:4">
      <c r="A14" s="1">
        <v>4</v>
      </c>
      <c r="B14" s="4" t="s">
        <v>163</v>
      </c>
      <c r="C14" s="5" t="s">
        <v>162</v>
      </c>
      <c r="D14" s="7">
        <v>12785.71</v>
      </c>
    </row>
    <row r="15" spans="1:4">
      <c r="A15" s="1">
        <v>4</v>
      </c>
      <c r="B15" s="4" t="s">
        <v>164</v>
      </c>
      <c r="C15" s="5" t="s">
        <v>162</v>
      </c>
      <c r="D15" s="7">
        <v>9687.5</v>
      </c>
    </row>
    <row r="16" spans="1:4">
      <c r="A16" s="1">
        <v>4</v>
      </c>
      <c r="B16" s="4" t="s">
        <v>165</v>
      </c>
      <c r="C16" s="5" t="s">
        <v>162</v>
      </c>
      <c r="D16" s="7">
        <v>25571.43</v>
      </c>
    </row>
    <row r="17" spans="1:4">
      <c r="A17" s="1">
        <v>4</v>
      </c>
      <c r="B17" s="4" t="s">
        <v>166</v>
      </c>
      <c r="C17" s="5" t="s">
        <v>162</v>
      </c>
      <c r="D17" s="6">
        <v>28750</v>
      </c>
    </row>
    <row r="18" spans="1:4">
      <c r="A18" s="1">
        <v>5</v>
      </c>
      <c r="B18" s="4" t="s">
        <v>167</v>
      </c>
      <c r="C18" s="5" t="s">
        <v>150</v>
      </c>
      <c r="D18" s="6">
        <v>499500</v>
      </c>
    </row>
    <row r="19" spans="1:4">
      <c r="A19" s="1">
        <v>6</v>
      </c>
      <c r="B19" s="4" t="s">
        <v>168</v>
      </c>
      <c r="C19" s="5" t="s">
        <v>156</v>
      </c>
      <c r="D19" s="2">
        <v>10</v>
      </c>
    </row>
    <row r="20" spans="1:4">
      <c r="A20" s="1">
        <v>7</v>
      </c>
      <c r="B20" s="4" t="s">
        <v>169</v>
      </c>
      <c r="C20" s="5" t="s">
        <v>150</v>
      </c>
      <c r="D20" s="6">
        <v>344500</v>
      </c>
    </row>
    <row r="21" spans="1:4">
      <c r="A21" s="1">
        <v>8</v>
      </c>
      <c r="B21" s="4" t="s">
        <v>170</v>
      </c>
      <c r="C21" s="5" t="s">
        <v>171</v>
      </c>
      <c r="D21" s="6">
        <v>275500</v>
      </c>
    </row>
    <row r="22" spans="1:4">
      <c r="A22" s="1">
        <v>9</v>
      </c>
      <c r="B22" s="4" t="s">
        <v>172</v>
      </c>
      <c r="C22" s="5" t="s">
        <v>173</v>
      </c>
      <c r="D22" s="2">
        <v>4</v>
      </c>
    </row>
    <row r="23" spans="1:4">
      <c r="A23" s="1">
        <v>10</v>
      </c>
      <c r="B23" s="4" t="s">
        <v>174</v>
      </c>
      <c r="C23" s="5" t="s">
        <v>162</v>
      </c>
      <c r="D23" s="7">
        <v>25766.67</v>
      </c>
    </row>
    <row r="24" spans="1:4">
      <c r="A24" s="1">
        <v>11</v>
      </c>
      <c r="B24" s="4" t="s">
        <v>175</v>
      </c>
      <c r="C24" s="5" t="s">
        <v>156</v>
      </c>
      <c r="D24" s="2">
        <v>9</v>
      </c>
    </row>
    <row r="25" spans="1:4">
      <c r="A25" s="1">
        <v>12</v>
      </c>
      <c r="B25" s="4" t="s">
        <v>176</v>
      </c>
      <c r="C25" s="5" t="s">
        <v>150</v>
      </c>
      <c r="D25" s="6">
        <v>508000</v>
      </c>
    </row>
    <row r="26" spans="1:4">
      <c r="A26" s="1">
        <v>13</v>
      </c>
      <c r="B26" s="4" t="s">
        <v>177</v>
      </c>
      <c r="C26" s="5" t="s">
        <v>156</v>
      </c>
      <c r="D26" s="2">
        <v>11</v>
      </c>
    </row>
    <row r="27" spans="1:4">
      <c r="A27" s="1">
        <v>14</v>
      </c>
      <c r="B27" s="4" t="s">
        <v>178</v>
      </c>
      <c r="C27" s="5" t="s">
        <v>150</v>
      </c>
      <c r="D27" s="6">
        <v>582000</v>
      </c>
    </row>
    <row r="28" spans="1:4">
      <c r="A28" s="1">
        <v>15</v>
      </c>
      <c r="B28" s="4" t="s">
        <v>179</v>
      </c>
      <c r="C28" s="5" t="s">
        <v>171</v>
      </c>
      <c r="D28" s="6">
        <v>320000</v>
      </c>
    </row>
    <row r="29" spans="1:4" ht="28.8">
      <c r="A29" s="1">
        <v>16</v>
      </c>
      <c r="B29" s="4" t="s">
        <v>180</v>
      </c>
      <c r="C29" s="5" t="s">
        <v>162</v>
      </c>
      <c r="D29" s="2" t="s">
        <v>181</v>
      </c>
    </row>
    <row r="30" spans="1:4">
      <c r="A30" s="1">
        <v>17</v>
      </c>
      <c r="B30" s="4" t="s">
        <v>182</v>
      </c>
      <c r="C30" s="5" t="s">
        <v>183</v>
      </c>
      <c r="D30" s="6">
        <v>76000</v>
      </c>
    </row>
    <row r="31" spans="1:4">
      <c r="A31" s="1">
        <v>18</v>
      </c>
      <c r="B31" s="4" t="s">
        <v>184</v>
      </c>
      <c r="C31" s="5" t="s">
        <v>185</v>
      </c>
      <c r="D31" s="6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Patient_Data</vt:lpstr>
      <vt:lpstr>Questions</vt:lpstr>
      <vt:lpstr>Answers</vt:lpstr>
      <vt:lpstr>Bills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Aditya Pabbineedi</cp:lastModifiedBy>
  <dcterms:created xsi:type="dcterms:W3CDTF">2026-09-09T05:55:57Z</dcterms:created>
  <dcterms:modified xsi:type="dcterms:W3CDTF">2026-10-01T12:10:21Z</dcterms:modified>
</cp:coreProperties>
</file>