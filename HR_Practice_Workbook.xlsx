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Master" sheetId="1" state="visible" r:id="rId3"/>
    <sheet name="Attendance - June 2026" sheetId="2" state="visible" r:id="rId4"/>
    <sheet name="Payroll Calculation" sheetId="3" state="visible" r:id="rId5"/>
    <sheet name="HR Dashboard" sheetId="4" state="visible" r:id="rId6"/>
    <sheet name="Practice Exercises" sheetId="5" state="visible" r:id="rId7"/>
  </sheets>
  <definedNames>
    <definedName function="false" hidden="true" localSheetId="1" name="_xlnm._FilterDatabase" vbProcedure="false">'Attendance - June 2026'!$A$4:$H$124</definedName>
    <definedName function="false" hidden="true" localSheetId="0" name="_xlnm._FilterDatabase" vbProcedure="false">'Employee Master'!$A$4:$M$124</definedName>
    <definedName function="false" hidden="true" localSheetId="2" name="_xlnm._FilterDatabase" vbProcedure="false">'Payroll Calculation'!$A$4:$K$124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<sst xmlns="http://schemas.openxmlformats.org/spreadsheetml/2006/main" count="1048" uniqueCount="311">
  <si>
    <t xml:space="preserve">Employee Master Data</t>
  </si>
  <si>
    <t xml:space="preserve">Practice file — HR Analytics Workbook</t>
  </si>
  <si>
    <t xml:space="preserve">Emp ID</t>
  </si>
  <si>
    <t xml:space="preserve">First Name</t>
  </si>
  <si>
    <t xml:space="preserve">Last Name</t>
  </si>
  <si>
    <t xml:space="preserve">Department</t>
  </si>
  <si>
    <t xml:space="preserve">Designation</t>
  </si>
  <si>
    <t xml:space="preserve">Gender</t>
  </si>
  <si>
    <t xml:space="preserve">City</t>
  </si>
  <si>
    <t xml:space="preserve">Date of Joining</t>
  </si>
  <si>
    <t xml:space="preserve">Date of Birth</t>
  </si>
  <si>
    <t xml:space="preserve">Employment Status</t>
  </si>
  <si>
    <t xml:space="preserve">Annual CTC (INR)</t>
  </si>
  <si>
    <t xml:space="preserve">Basic Salary (Monthly)</t>
  </si>
  <si>
    <t xml:space="preserve">HRA (Monthly)</t>
  </si>
  <si>
    <t xml:space="preserve">EMP1000</t>
  </si>
  <si>
    <t xml:space="preserve">Wei</t>
  </si>
  <si>
    <t xml:space="preserve">Reddy</t>
  </si>
  <si>
    <t xml:space="preserve">Engineering</t>
  </si>
  <si>
    <t xml:space="preserve">Engineering Manager</t>
  </si>
  <si>
    <t xml:space="preserve">Male</t>
  </si>
  <si>
    <t xml:space="preserve">Pune</t>
  </si>
  <si>
    <t xml:space="preserve">Active</t>
  </si>
  <si>
    <t xml:space="preserve">EMP1001</t>
  </si>
  <si>
    <t xml:space="preserve">Harper</t>
  </si>
  <si>
    <t xml:space="preserve">Brown</t>
  </si>
  <si>
    <t xml:space="preserve">Software Engineer</t>
  </si>
  <si>
    <t xml:space="preserve">On Leave</t>
  </si>
  <si>
    <t xml:space="preserve">EMP1002</t>
  </si>
  <si>
    <t xml:space="preserve">Charlotte</t>
  </si>
  <si>
    <t xml:space="preserve">Rao</t>
  </si>
  <si>
    <t xml:space="preserve">Operations</t>
  </si>
  <si>
    <t xml:space="preserve">Logistics Coordinator</t>
  </si>
  <si>
    <t xml:space="preserve">Female</t>
  </si>
  <si>
    <t xml:space="preserve">EMP1003</t>
  </si>
  <si>
    <t xml:space="preserve">Sofia</t>
  </si>
  <si>
    <t xml:space="preserve">Chatterjee</t>
  </si>
  <si>
    <t xml:space="preserve">Sales</t>
  </si>
  <si>
    <t xml:space="preserve">Business Development Rep</t>
  </si>
  <si>
    <t xml:space="preserve">Chennai</t>
  </si>
  <si>
    <t xml:space="preserve">Terminated</t>
  </si>
  <si>
    <t xml:space="preserve">EMP1004</t>
  </si>
  <si>
    <t xml:space="preserve">Reyansh</t>
  </si>
  <si>
    <t xml:space="preserve">Gupta</t>
  </si>
  <si>
    <t xml:space="preserve">HR</t>
  </si>
  <si>
    <t xml:space="preserve">HR Executive</t>
  </si>
  <si>
    <t xml:space="preserve">Delhi</t>
  </si>
  <si>
    <t xml:space="preserve">EMP1005</t>
  </si>
  <si>
    <t xml:space="preserve">Min</t>
  </si>
  <si>
    <t xml:space="preserve">Jones</t>
  </si>
  <si>
    <t xml:space="preserve">Finance</t>
  </si>
  <si>
    <t xml:space="preserve">Accountant</t>
  </si>
  <si>
    <t xml:space="preserve">Bengaluru</t>
  </si>
  <si>
    <t xml:space="preserve">EMP1006</t>
  </si>
  <si>
    <t xml:space="preserve">Amelia</t>
  </si>
  <si>
    <t xml:space="preserve">Operations Executive</t>
  </si>
  <si>
    <t xml:space="preserve">EMP1007</t>
  </si>
  <si>
    <t xml:space="preserve">Williams</t>
  </si>
  <si>
    <t xml:space="preserve">Marketing</t>
  </si>
  <si>
    <t xml:space="preserve">SEO Specialist</t>
  </si>
  <si>
    <t xml:space="preserve">Mumbai</t>
  </si>
  <si>
    <t xml:space="preserve">EMP1008</t>
  </si>
  <si>
    <t xml:space="preserve">Chen</t>
  </si>
  <si>
    <t xml:space="preserve">Mukherjee</t>
  </si>
  <si>
    <t xml:space="preserve">EMP1009</t>
  </si>
  <si>
    <t xml:space="preserve">David</t>
  </si>
  <si>
    <t xml:space="preserve">Kapoor</t>
  </si>
  <si>
    <t xml:space="preserve">EMP1010</t>
  </si>
  <si>
    <t xml:space="preserve">James</t>
  </si>
  <si>
    <t xml:space="preserve">Marketing Executive</t>
  </si>
  <si>
    <t xml:space="preserve">EMP1011</t>
  </si>
  <si>
    <t xml:space="preserve">Rohan</t>
  </si>
  <si>
    <t xml:space="preserve">Account Manager</t>
  </si>
  <si>
    <t xml:space="preserve">Gurugram</t>
  </si>
  <si>
    <t xml:space="preserve">EMP1012</t>
  </si>
  <si>
    <t xml:space="preserve">Ishaan</t>
  </si>
  <si>
    <t xml:space="preserve">Davis</t>
  </si>
  <si>
    <t xml:space="preserve">EMP1013</t>
  </si>
  <si>
    <t xml:space="preserve">Evelyn</t>
  </si>
  <si>
    <t xml:space="preserve">HR Manager</t>
  </si>
  <si>
    <t xml:space="preserve">EMP1014</t>
  </si>
  <si>
    <t xml:space="preserve">Yuki</t>
  </si>
  <si>
    <t xml:space="preserve">Sen</t>
  </si>
  <si>
    <t xml:space="preserve">Finance Manager</t>
  </si>
  <si>
    <t xml:space="preserve">EMP1015</t>
  </si>
  <si>
    <t xml:space="preserve">Aarav</t>
  </si>
  <si>
    <t xml:space="preserve">Malhotra</t>
  </si>
  <si>
    <t xml:space="preserve">Operations Manager</t>
  </si>
  <si>
    <t xml:space="preserve">EMP1016</t>
  </si>
  <si>
    <t xml:space="preserve">Sales Manager</t>
  </si>
  <si>
    <t xml:space="preserve">Hyderabad</t>
  </si>
  <si>
    <t xml:space="preserve">EMP1017</t>
  </si>
  <si>
    <t xml:space="preserve">Krishna</t>
  </si>
  <si>
    <t xml:space="preserve">Marketing Manager</t>
  </si>
  <si>
    <t xml:space="preserve">EMP1018</t>
  </si>
  <si>
    <t xml:space="preserve">Miller</t>
  </si>
  <si>
    <t xml:space="preserve">DevOps Engineer</t>
  </si>
  <si>
    <t xml:space="preserve">EMP1019</t>
  </si>
  <si>
    <t xml:space="preserve">Anika</t>
  </si>
  <si>
    <t xml:space="preserve">Accounts Payable Clerk</t>
  </si>
  <si>
    <t xml:space="preserve">EMP1020</t>
  </si>
  <si>
    <t xml:space="preserve">Joseph</t>
  </si>
  <si>
    <t xml:space="preserve">EMP1021</t>
  </si>
  <si>
    <t xml:space="preserve">Garcia</t>
  </si>
  <si>
    <t xml:space="preserve">EMP1022</t>
  </si>
  <si>
    <t xml:space="preserve">Aditya</t>
  </si>
  <si>
    <t xml:space="preserve">Roy</t>
  </si>
  <si>
    <t xml:space="preserve">EMP1023</t>
  </si>
  <si>
    <t xml:space="preserve">Noida</t>
  </si>
  <si>
    <t xml:space="preserve">EMP1024</t>
  </si>
  <si>
    <t xml:space="preserve">Shah</t>
  </si>
  <si>
    <t xml:space="preserve">Talent Acquisition Specialist</t>
  </si>
  <si>
    <t xml:space="preserve">EMP1025</t>
  </si>
  <si>
    <t xml:space="preserve">Vihaan</t>
  </si>
  <si>
    <t xml:space="preserve">EMP1026</t>
  </si>
  <si>
    <t xml:space="preserve">EMP1027</t>
  </si>
  <si>
    <t xml:space="preserve">Patel</t>
  </si>
  <si>
    <t xml:space="preserve">EMP1028</t>
  </si>
  <si>
    <t xml:space="preserve">Aadhya</t>
  </si>
  <si>
    <t xml:space="preserve">EMP1029</t>
  </si>
  <si>
    <t xml:space="preserve">Riya</t>
  </si>
  <si>
    <t xml:space="preserve">EMP1030</t>
  </si>
  <si>
    <t xml:space="preserve">EMP1031</t>
  </si>
  <si>
    <t xml:space="preserve">Isabella</t>
  </si>
  <si>
    <t xml:space="preserve">Nair</t>
  </si>
  <si>
    <t xml:space="preserve">EMP1032</t>
  </si>
  <si>
    <t xml:space="preserve">Daniel</t>
  </si>
  <si>
    <t xml:space="preserve">Financial Analyst</t>
  </si>
  <si>
    <t xml:space="preserve">EMP1033</t>
  </si>
  <si>
    <t xml:space="preserve">Content Strategist</t>
  </si>
  <si>
    <t xml:space="preserve">EMP1034</t>
  </si>
  <si>
    <t xml:space="preserve">Ryan</t>
  </si>
  <si>
    <t xml:space="preserve">Smith</t>
  </si>
  <si>
    <t xml:space="preserve">EMP1035</t>
  </si>
  <si>
    <t xml:space="preserve">Iyer</t>
  </si>
  <si>
    <t xml:space="preserve">EMP1036</t>
  </si>
  <si>
    <t xml:space="preserve">Abigail</t>
  </si>
  <si>
    <t xml:space="preserve">EMP1037</t>
  </si>
  <si>
    <t xml:space="preserve">EMP1038</t>
  </si>
  <si>
    <t xml:space="preserve">EMP1039</t>
  </si>
  <si>
    <t xml:space="preserve">Navya</t>
  </si>
  <si>
    <t xml:space="preserve">Verma</t>
  </si>
  <si>
    <t xml:space="preserve">EMP1040</t>
  </si>
  <si>
    <t xml:space="preserve">Sharma</t>
  </si>
  <si>
    <t xml:space="preserve">EMP1041</t>
  </si>
  <si>
    <t xml:space="preserve">Andrew</t>
  </si>
  <si>
    <t xml:space="preserve">EMP1042</t>
  </si>
  <si>
    <t xml:space="preserve">Hiro</t>
  </si>
  <si>
    <t xml:space="preserve">EMP1043</t>
  </si>
  <si>
    <t xml:space="preserve">Matthew</t>
  </si>
  <si>
    <t xml:space="preserve">EMP1044</t>
  </si>
  <si>
    <t xml:space="preserve">QA Engineer</t>
  </si>
  <si>
    <t xml:space="preserve">EMP1045</t>
  </si>
  <si>
    <t xml:space="preserve">Kiara</t>
  </si>
  <si>
    <t xml:space="preserve">Mehta</t>
  </si>
  <si>
    <t xml:space="preserve">Senior Software Engineer</t>
  </si>
  <si>
    <t xml:space="preserve">EMP1046</t>
  </si>
  <si>
    <t xml:space="preserve">Robert</t>
  </si>
  <si>
    <t xml:space="preserve">EMP1047</t>
  </si>
  <si>
    <t xml:space="preserve">EMP1048</t>
  </si>
  <si>
    <t xml:space="preserve">EMP1049</t>
  </si>
  <si>
    <t xml:space="preserve">Michael</t>
  </si>
  <si>
    <t xml:space="preserve">EMP1050</t>
  </si>
  <si>
    <t xml:space="preserve">EMP1051</t>
  </si>
  <si>
    <t xml:space="preserve">EMP1052</t>
  </si>
  <si>
    <t xml:space="preserve">Anderson</t>
  </si>
  <si>
    <t xml:space="preserve">EMP1053</t>
  </si>
  <si>
    <t xml:space="preserve">Jae</t>
  </si>
  <si>
    <t xml:space="preserve">EMP1054</t>
  </si>
  <si>
    <t xml:space="preserve">EMP1055</t>
  </si>
  <si>
    <t xml:space="preserve">EMP1056</t>
  </si>
  <si>
    <t xml:space="preserve">Jun</t>
  </si>
  <si>
    <t xml:space="preserve">Chopra</t>
  </si>
  <si>
    <t xml:space="preserve">EMP1057</t>
  </si>
  <si>
    <t xml:space="preserve">EMP1058</t>
  </si>
  <si>
    <t xml:space="preserve">EMP1059</t>
  </si>
  <si>
    <t xml:space="preserve">EMP1060</t>
  </si>
  <si>
    <t xml:space="preserve">Myra</t>
  </si>
  <si>
    <t xml:space="preserve">EMP1061</t>
  </si>
  <si>
    <t xml:space="preserve">Li</t>
  </si>
  <si>
    <t xml:space="preserve">EMP1062</t>
  </si>
  <si>
    <t xml:space="preserve">Das</t>
  </si>
  <si>
    <t xml:space="preserve">EMP1063</t>
  </si>
  <si>
    <t xml:space="preserve">HR Business Partner</t>
  </si>
  <si>
    <t xml:space="preserve">EMP1064</t>
  </si>
  <si>
    <t xml:space="preserve">EMP1065</t>
  </si>
  <si>
    <t xml:space="preserve">Wilson</t>
  </si>
  <si>
    <t xml:space="preserve">EMP1066</t>
  </si>
  <si>
    <t xml:space="preserve">EMP1067</t>
  </si>
  <si>
    <t xml:space="preserve">EMP1068</t>
  </si>
  <si>
    <t xml:space="preserve">Lucas</t>
  </si>
  <si>
    <t xml:space="preserve">EMP1069</t>
  </si>
  <si>
    <t xml:space="preserve">EMP1070</t>
  </si>
  <si>
    <t xml:space="preserve">Ananya</t>
  </si>
  <si>
    <t xml:space="preserve">EMP1071</t>
  </si>
  <si>
    <t xml:space="preserve">EMP1072</t>
  </si>
  <si>
    <t xml:space="preserve">EMP1073</t>
  </si>
  <si>
    <t xml:space="preserve">Arjun</t>
  </si>
  <si>
    <t xml:space="preserve">EMP1074</t>
  </si>
  <si>
    <t xml:space="preserve">EMP1075</t>
  </si>
  <si>
    <t xml:space="preserve">EMP1076</t>
  </si>
  <si>
    <t xml:space="preserve">EMP1077</t>
  </si>
  <si>
    <t xml:space="preserve">John</t>
  </si>
  <si>
    <t xml:space="preserve">EMP1078</t>
  </si>
  <si>
    <t xml:space="preserve">EMP1079</t>
  </si>
  <si>
    <t xml:space="preserve">Olivia</t>
  </si>
  <si>
    <t xml:space="preserve">EMP1080</t>
  </si>
  <si>
    <t xml:space="preserve">EMP1081</t>
  </si>
  <si>
    <t xml:space="preserve">EMP1082</t>
  </si>
  <si>
    <t xml:space="preserve">EMP1083</t>
  </si>
  <si>
    <t xml:space="preserve">EMP1084</t>
  </si>
  <si>
    <t xml:space="preserve">Isha</t>
  </si>
  <si>
    <t xml:space="preserve">EMP1085</t>
  </si>
  <si>
    <t xml:space="preserve">EMP1086</t>
  </si>
  <si>
    <t xml:space="preserve">Sales Executive</t>
  </si>
  <si>
    <t xml:space="preserve">EMP1087</t>
  </si>
  <si>
    <t xml:space="preserve">EMP1088</t>
  </si>
  <si>
    <t xml:space="preserve">EMP1089</t>
  </si>
  <si>
    <t xml:space="preserve">EMP1090</t>
  </si>
  <si>
    <t xml:space="preserve">EMP1091</t>
  </si>
  <si>
    <t xml:space="preserve">EMP1092</t>
  </si>
  <si>
    <t xml:space="preserve">EMP1093</t>
  </si>
  <si>
    <t xml:space="preserve">EMP1094</t>
  </si>
  <si>
    <t xml:space="preserve">EMP1095</t>
  </si>
  <si>
    <t xml:space="preserve">EMP1096</t>
  </si>
  <si>
    <t xml:space="preserve">Bose</t>
  </si>
  <si>
    <t xml:space="preserve">EMP1097</t>
  </si>
  <si>
    <t xml:space="preserve">Sai</t>
  </si>
  <si>
    <t xml:space="preserve">EMP1098</t>
  </si>
  <si>
    <t xml:space="preserve">EMP1099</t>
  </si>
  <si>
    <t xml:space="preserve">EMP1100</t>
  </si>
  <si>
    <t xml:space="preserve">EMP1101</t>
  </si>
  <si>
    <t xml:space="preserve">EMP1102</t>
  </si>
  <si>
    <t xml:space="preserve">EMP1103</t>
  </si>
  <si>
    <t xml:space="preserve">EMP1104</t>
  </si>
  <si>
    <t xml:space="preserve">EMP1105</t>
  </si>
  <si>
    <t xml:space="preserve">EMP1106</t>
  </si>
  <si>
    <t xml:space="preserve">EMP1107</t>
  </si>
  <si>
    <t xml:space="preserve">EMP1108</t>
  </si>
  <si>
    <t xml:space="preserve">EMP1109</t>
  </si>
  <si>
    <t xml:space="preserve">EMP1110</t>
  </si>
  <si>
    <t xml:space="preserve">EMP1111</t>
  </si>
  <si>
    <t xml:space="preserve">EMP1112</t>
  </si>
  <si>
    <t xml:space="preserve">EMP1113</t>
  </si>
  <si>
    <t xml:space="preserve">EMP1114</t>
  </si>
  <si>
    <t xml:space="preserve">EMP1115</t>
  </si>
  <si>
    <t xml:space="preserve">EMP1116</t>
  </si>
  <si>
    <t xml:space="preserve">EMP1117</t>
  </si>
  <si>
    <t xml:space="preserve">EMP1118</t>
  </si>
  <si>
    <t xml:space="preserve">EMP1119</t>
  </si>
  <si>
    <t xml:space="preserve">Monthly Attendance Tracker — June 2026</t>
  </si>
  <si>
    <t xml:space="preserve">P = Present, A = Absent, L = Leave, WO = Week Off</t>
  </si>
  <si>
    <t xml:space="preserve">Name</t>
  </si>
  <si>
    <t xml:space="preserve">Days Present</t>
  </si>
  <si>
    <t xml:space="preserve">Days Absent</t>
  </si>
  <si>
    <t xml:space="preserve">Days on Leave</t>
  </si>
  <si>
    <t xml:space="preserve">Working Days</t>
  </si>
  <si>
    <t xml:space="preserve">Attendance %</t>
  </si>
  <si>
    <t xml:space="preserve">Payroll Calculation — June 2026</t>
  </si>
  <si>
    <t xml:space="preserve">PF = 12% of Basic (capped 1,800/mo) | Prof. Tax = 200 flat | Net Pay = Gross - Deductions</t>
  </si>
  <si>
    <t xml:space="preserve">Basic Salary</t>
  </si>
  <si>
    <t xml:space="preserve">HRA</t>
  </si>
  <si>
    <t xml:space="preserve">Conveyance Allowance</t>
  </si>
  <si>
    <t xml:space="preserve">Gross Salary</t>
  </si>
  <si>
    <t xml:space="preserve">PF Deduction (12%)</t>
  </si>
  <si>
    <t xml:space="preserve">Professional Tax</t>
  </si>
  <si>
    <t xml:space="preserve">Total Deductions</t>
  </si>
  <si>
    <t xml:space="preserve">Net Pay</t>
  </si>
  <si>
    <t xml:space="preserve">Assumptions</t>
  </si>
  <si>
    <t xml:space="preserve">Conveyance Allowance (flat)</t>
  </si>
  <si>
    <t xml:space="preserve">PF Rate</t>
  </si>
  <si>
    <t xml:space="preserve">PF Monthly Cap</t>
  </si>
  <si>
    <t xml:space="preserve">Professional Tax (flat)</t>
  </si>
  <si>
    <t xml:space="preserve">TOTAL</t>
  </si>
  <si>
    <t xml:space="preserve">HR Analytics Dashboard</t>
  </si>
  <si>
    <t xml:space="preserve">Summary metrics built with COUNTIF / SUMIF / AVERAGEIF / COUNTIFS</t>
  </si>
  <si>
    <t xml:space="preserve">Headcount by Department</t>
  </si>
  <si>
    <t xml:space="preserve">Headcount</t>
  </si>
  <si>
    <t xml:space="preserve">Avg CTC (INR)</t>
  </si>
  <si>
    <t xml:space="preserve">Avg Attendance %</t>
  </si>
  <si>
    <t xml:space="preserve">Key Company Metrics</t>
  </si>
  <si>
    <t xml:space="preserve">Total Headcount</t>
  </si>
  <si>
    <t xml:space="preserve">Active Employees</t>
  </si>
  <si>
    <t xml:space="preserve">Employees on Leave</t>
  </si>
  <si>
    <t xml:space="preserve">Terminated Employees</t>
  </si>
  <si>
    <t xml:space="preserve">Gender Split - Female</t>
  </si>
  <si>
    <t xml:space="preserve">Gender Split - Male</t>
  </si>
  <si>
    <t xml:space="preserve">Average CTC (INR)</t>
  </si>
  <si>
    <t xml:space="preserve">Highest CTC (INR)</t>
  </si>
  <si>
    <t xml:space="preserve">Total Monthly Payroll (Net)</t>
  </si>
  <si>
    <t xml:space="preserve">Employees with Attendance &lt; 80%</t>
  </si>
  <si>
    <t xml:space="preserve">Practice Exercises</t>
  </si>
  <si>
    <t xml:space="preserve">Try these using the data in 'Employee Master', 'Attendance', and 'Payroll Calculation' tabs. Write your formulas in column C.</t>
  </si>
  <si>
    <t xml:space="preserve">#</t>
  </si>
  <si>
    <t xml:space="preserve">Task</t>
  </si>
  <si>
    <t xml:space="preserve">Your Formula / Answer</t>
  </si>
  <si>
    <t xml:space="preserve">Use VLOOKUP to find the Department of employee 'EMP1010' on this sheet.</t>
  </si>
  <si>
    <t xml:space="preserve">Count how many employees joined after 1-Jan-2022 (use COUNTIF or COUNTIFS with dates).</t>
  </si>
  <si>
    <t xml:space="preserve">Calculate each employee's tenure in years as of today using DATEDIF (Employee Master sheet).</t>
  </si>
  <si>
    <t xml:space="preserve">Calculate each employee's current age using DATEDIF on Date of Birth.</t>
  </si>
  <si>
    <t xml:space="preserve">Find the employee with the highest Annual CTC using INDEX/MATCH.</t>
  </si>
  <si>
    <t xml:space="preserve">Count the number of employees in the 'Engineering' department using COUNTIF.</t>
  </si>
  <si>
    <t xml:space="preserve">Calculate the average Attendance % for employees in the 'Sales' department using AVERAGEIF.</t>
  </si>
  <si>
    <t xml:space="preserve">Use IF to flag employees with Attendance % below 85% as 'At Risk', else 'OK'.</t>
  </si>
  <si>
    <t xml:space="preserve">Use SUMIFS to total Net Pay for employees in the 'Finance' department only.</t>
  </si>
  <si>
    <t xml:space="preserve">Create a formula to concatenate First Name + Last Name + Department into one string.</t>
  </si>
  <si>
    <t xml:space="preserve">Use COUNTIFS to count Active female employees in Bengaluru.</t>
  </si>
  <si>
    <t xml:space="preserve">Rank employees by Annual CTC within their department using RANK or RANK.EQ + array logic.</t>
  </si>
  <si>
    <t xml:space="preserve">Use a nested IF to bucket employees into CTC bands: &lt;6L, 6-10L, 10-15L, &gt;15L.</t>
  </si>
  <si>
    <t xml:space="preserve">Build a Pivot Table showing Headcount and Average CTC by Department and Gender.</t>
  </si>
  <si>
    <t xml:space="preserve">Use TEXT() to format each employee's Date of Joining as 'DD-Mon-YYYY' in a new column.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</si>
</sst>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0.0%"/>
    <numFmt numFmtId="168" formatCode="0%"/>
    <numFmt numFmtId="169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8ACA7E"/>
          <bgColor rgb="FF000000"/>
        </patternFill>
      </fill>
    </dxf>
    <dxf>
      <fill>
        <patternFill patternType="solid">
          <fgColor rgb="FFB2D580"/>
          <bgColor rgb="FF000000"/>
        </patternFill>
      </fill>
    </dxf>
    <dxf>
      <fill>
        <patternFill patternType="solid">
          <fgColor rgb="FFD9E082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98971"/>
          <bgColor rgb="FF000000"/>
        </patternFill>
      </fill>
    </dxf>
    <dxf>
      <fill>
        <patternFill patternType="solid">
          <fgColor rgb="FFFBAA77"/>
          <bgColor rgb="FF000000"/>
        </patternFill>
      </fill>
    </dxf>
    <dxf>
      <fill>
        <patternFill patternType="solid">
          <fgColor rgb="FFFDCA7D"/>
          <bgColor rgb="FF000000"/>
        </patternFill>
      </fill>
    </dxf>
    <dxf>
      <fill>
        <patternFill patternType="solid">
          <fgColor rgb="FFFFEB8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6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3" min="13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4" t="s">
        <v>20</v>
      </c>
      <c r="G5" s="4" t="s">
        <v>21</v>
      </c>
      <c r="H5" s="5" t="n">
        <v>42941</v>
      </c>
      <c r="I5" s="5" t="n">
        <v>29074</v>
      </c>
      <c r="J5" s="4" t="s">
        <v>22</v>
      </c>
      <c r="K5" s="6" t="n">
        <v>670000</v>
      </c>
      <c r="L5" s="6" t="n">
        <v>22330</v>
      </c>
      <c r="M5" s="6" t="n">
        <v>8930</v>
      </c>
    </row>
    <row r="6" customFormat="false" ht="15" hidden="false" customHeight="false" outlineLevel="0" collapsed="false">
      <c r="A6" s="4" t="s">
        <v>23</v>
      </c>
      <c r="B6" s="4" t="s">
        <v>24</v>
      </c>
      <c r="C6" s="4" t="s">
        <v>25</v>
      </c>
      <c r="D6" s="4" t="s">
        <v>18</v>
      </c>
      <c r="E6" s="4" t="s">
        <v>26</v>
      </c>
      <c r="F6" s="4" t="s">
        <v>20</v>
      </c>
      <c r="G6" s="4" t="s">
        <v>21</v>
      </c>
      <c r="H6" s="5" t="n">
        <v>43322</v>
      </c>
      <c r="I6" s="5" t="n">
        <v>35674</v>
      </c>
      <c r="J6" s="4" t="s">
        <v>27</v>
      </c>
      <c r="K6" s="6" t="n">
        <v>510000</v>
      </c>
      <c r="L6" s="6" t="n">
        <v>17000</v>
      </c>
      <c r="M6" s="6" t="n">
        <v>6800</v>
      </c>
    </row>
    <row r="7" customFormat="false" ht="15" hidden="false" customHeight="false" outlineLevel="0" collapsed="false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4" t="s">
        <v>21</v>
      </c>
      <c r="H7" s="5" t="n">
        <v>44209</v>
      </c>
      <c r="I7" s="5" t="n">
        <v>37049</v>
      </c>
      <c r="J7" s="4" t="s">
        <v>22</v>
      </c>
      <c r="K7" s="6" t="n">
        <v>460000</v>
      </c>
      <c r="L7" s="6" t="n">
        <v>15330</v>
      </c>
      <c r="M7" s="6" t="n">
        <v>6130</v>
      </c>
    </row>
    <row r="8" customFormat="false" ht="15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33</v>
      </c>
      <c r="G8" s="4" t="s">
        <v>39</v>
      </c>
      <c r="H8" s="5" t="n">
        <v>43006</v>
      </c>
      <c r="I8" s="5" t="n">
        <v>30922</v>
      </c>
      <c r="J8" s="4" t="s">
        <v>40</v>
      </c>
      <c r="K8" s="6" t="n">
        <v>1310000</v>
      </c>
      <c r="L8" s="6" t="n">
        <v>43670</v>
      </c>
      <c r="M8" s="6" t="n">
        <v>17470</v>
      </c>
    </row>
    <row r="9" customFormat="false" ht="15" hidden="false" customHeight="false" outlineLevel="0" collapsed="false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33</v>
      </c>
      <c r="G9" s="4" t="s">
        <v>46</v>
      </c>
      <c r="H9" s="5" t="n">
        <v>44842</v>
      </c>
      <c r="I9" s="5" t="n">
        <v>31728</v>
      </c>
      <c r="J9" s="4" t="s">
        <v>40</v>
      </c>
      <c r="K9" s="6" t="n">
        <v>560000</v>
      </c>
      <c r="L9" s="6" t="n">
        <v>18670</v>
      </c>
      <c r="M9" s="6" t="n">
        <v>7470</v>
      </c>
    </row>
    <row r="10" customFormat="false" ht="15" hidden="false" customHeight="false" outlineLevel="0" collapsed="false">
      <c r="A10" s="4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33</v>
      </c>
      <c r="G10" s="4" t="s">
        <v>52</v>
      </c>
      <c r="H10" s="5" t="n">
        <v>44631</v>
      </c>
      <c r="I10" s="5" t="n">
        <v>32198</v>
      </c>
      <c r="J10" s="4" t="s">
        <v>40</v>
      </c>
      <c r="K10" s="6" t="n">
        <v>1370000</v>
      </c>
      <c r="L10" s="6" t="n">
        <v>45670</v>
      </c>
      <c r="M10" s="6" t="n">
        <v>18270</v>
      </c>
    </row>
    <row r="11" customFormat="false" ht="15" hidden="false" customHeight="false" outlineLevel="0" collapsed="false">
      <c r="A11" s="4" t="s">
        <v>53</v>
      </c>
      <c r="B11" s="4" t="s">
        <v>54</v>
      </c>
      <c r="C11" s="4" t="s">
        <v>30</v>
      </c>
      <c r="D11" s="4" t="s">
        <v>31</v>
      </c>
      <c r="E11" s="4" t="s">
        <v>55</v>
      </c>
      <c r="F11" s="4" t="s">
        <v>20</v>
      </c>
      <c r="G11" s="4" t="s">
        <v>21</v>
      </c>
      <c r="H11" s="5" t="n">
        <v>45536</v>
      </c>
      <c r="I11" s="5" t="n">
        <v>32136</v>
      </c>
      <c r="J11" s="4" t="s">
        <v>22</v>
      </c>
      <c r="K11" s="6" t="n">
        <v>1040000</v>
      </c>
      <c r="L11" s="6" t="n">
        <v>34670</v>
      </c>
      <c r="M11" s="6" t="n">
        <v>13870</v>
      </c>
    </row>
    <row r="12" customFormat="false" ht="15" hidden="false" customHeight="false" outlineLevel="0" collapsed="false">
      <c r="A12" s="4" t="s">
        <v>56</v>
      </c>
      <c r="B12" s="4" t="s">
        <v>42</v>
      </c>
      <c r="C12" s="4" t="s">
        <v>57</v>
      </c>
      <c r="D12" s="4" t="s">
        <v>58</v>
      </c>
      <c r="E12" s="4" t="s">
        <v>59</v>
      </c>
      <c r="F12" s="4" t="s">
        <v>33</v>
      </c>
      <c r="G12" s="4" t="s">
        <v>60</v>
      </c>
      <c r="H12" s="5" t="n">
        <v>43886</v>
      </c>
      <c r="I12" s="5" t="n">
        <v>33215</v>
      </c>
      <c r="J12" s="4" t="s">
        <v>22</v>
      </c>
      <c r="K12" s="6" t="n">
        <v>1130000</v>
      </c>
      <c r="L12" s="6" t="n">
        <v>37670</v>
      </c>
      <c r="M12" s="6" t="n">
        <v>15070</v>
      </c>
    </row>
    <row r="13" customFormat="false" ht="15" hidden="false" customHeight="false" outlineLevel="0" collapsed="false">
      <c r="A13" s="4" t="s">
        <v>61</v>
      </c>
      <c r="B13" s="4" t="s">
        <v>62</v>
      </c>
      <c r="C13" s="4" t="s">
        <v>63</v>
      </c>
      <c r="D13" s="4" t="s">
        <v>31</v>
      </c>
      <c r="E13" s="4" t="s">
        <v>32</v>
      </c>
      <c r="F13" s="4" t="s">
        <v>20</v>
      </c>
      <c r="G13" s="4" t="s">
        <v>60</v>
      </c>
      <c r="H13" s="5" t="n">
        <v>44557</v>
      </c>
      <c r="I13" s="5" t="n">
        <v>31405</v>
      </c>
      <c r="J13" s="4" t="s">
        <v>22</v>
      </c>
      <c r="K13" s="6" t="n">
        <v>1630000</v>
      </c>
      <c r="L13" s="6" t="n">
        <v>54330</v>
      </c>
      <c r="M13" s="6" t="n">
        <v>21730</v>
      </c>
    </row>
    <row r="14" customFormat="false" ht="15" hidden="false" customHeight="false" outlineLevel="0" collapsed="false">
      <c r="A14" s="4" t="s">
        <v>64</v>
      </c>
      <c r="B14" s="4" t="s">
        <v>65</v>
      </c>
      <c r="C14" s="4" t="s">
        <v>66</v>
      </c>
      <c r="D14" s="4" t="s">
        <v>31</v>
      </c>
      <c r="E14" s="4" t="s">
        <v>32</v>
      </c>
      <c r="F14" s="4" t="s">
        <v>20</v>
      </c>
      <c r="G14" s="4" t="s">
        <v>46</v>
      </c>
      <c r="H14" s="5" t="n">
        <v>45822</v>
      </c>
      <c r="I14" s="5" t="n">
        <v>28311</v>
      </c>
      <c r="J14" s="4" t="s">
        <v>22</v>
      </c>
      <c r="K14" s="6" t="n">
        <v>530000</v>
      </c>
      <c r="L14" s="6" t="n">
        <v>17670</v>
      </c>
      <c r="M14" s="6" t="n">
        <v>7070</v>
      </c>
    </row>
    <row r="15" customFormat="false" ht="15" hidden="false" customHeight="false" outlineLevel="0" collapsed="false">
      <c r="A15" s="4" t="s">
        <v>67</v>
      </c>
      <c r="B15" s="4" t="s">
        <v>68</v>
      </c>
      <c r="C15" s="4" t="s">
        <v>57</v>
      </c>
      <c r="D15" s="4" t="s">
        <v>58</v>
      </c>
      <c r="E15" s="4" t="s">
        <v>69</v>
      </c>
      <c r="F15" s="4" t="s">
        <v>20</v>
      </c>
      <c r="G15" s="4" t="s">
        <v>46</v>
      </c>
      <c r="H15" s="5" t="n">
        <v>43240</v>
      </c>
      <c r="I15" s="5" t="n">
        <v>35574</v>
      </c>
      <c r="J15" s="4" t="s">
        <v>22</v>
      </c>
      <c r="K15" s="6" t="n">
        <v>1620000</v>
      </c>
      <c r="L15" s="6" t="n">
        <v>54000</v>
      </c>
      <c r="M15" s="6" t="n">
        <v>21600</v>
      </c>
    </row>
    <row r="16" customFormat="false" ht="15" hidden="false" customHeight="false" outlineLevel="0" collapsed="false">
      <c r="A16" s="4" t="s">
        <v>70</v>
      </c>
      <c r="B16" s="4" t="s">
        <v>71</v>
      </c>
      <c r="C16" s="4" t="s">
        <v>66</v>
      </c>
      <c r="D16" s="4" t="s">
        <v>37</v>
      </c>
      <c r="E16" s="4" t="s">
        <v>72</v>
      </c>
      <c r="F16" s="4" t="s">
        <v>33</v>
      </c>
      <c r="G16" s="4" t="s">
        <v>73</v>
      </c>
      <c r="H16" s="5" t="n">
        <v>44760</v>
      </c>
      <c r="I16" s="5" t="n">
        <v>33938</v>
      </c>
      <c r="J16" s="4" t="s">
        <v>22</v>
      </c>
      <c r="K16" s="6" t="n">
        <v>1010000</v>
      </c>
      <c r="L16" s="6" t="n">
        <v>33670</v>
      </c>
      <c r="M16" s="6" t="n">
        <v>13470</v>
      </c>
    </row>
    <row r="17" customFormat="false" ht="15" hidden="false" customHeight="false" outlineLevel="0" collapsed="false">
      <c r="A17" s="4" t="s">
        <v>74</v>
      </c>
      <c r="B17" s="4" t="s">
        <v>75</v>
      </c>
      <c r="C17" s="4" t="s">
        <v>76</v>
      </c>
      <c r="D17" s="4" t="s">
        <v>44</v>
      </c>
      <c r="E17" s="4" t="s">
        <v>45</v>
      </c>
      <c r="F17" s="4" t="s">
        <v>20</v>
      </c>
      <c r="G17" s="4" t="s">
        <v>52</v>
      </c>
      <c r="H17" s="5" t="n">
        <v>42996</v>
      </c>
      <c r="I17" s="5" t="n">
        <v>30016</v>
      </c>
      <c r="J17" s="4" t="s">
        <v>40</v>
      </c>
      <c r="K17" s="6" t="n">
        <v>1530000</v>
      </c>
      <c r="L17" s="6" t="n">
        <v>51000</v>
      </c>
      <c r="M17" s="6" t="n">
        <v>20400</v>
      </c>
    </row>
    <row r="18" customFormat="false" ht="15" hidden="false" customHeight="false" outlineLevel="0" collapsed="false">
      <c r="A18" s="4" t="s">
        <v>77</v>
      </c>
      <c r="B18" s="4" t="s">
        <v>78</v>
      </c>
      <c r="C18" s="4" t="s">
        <v>43</v>
      </c>
      <c r="D18" s="4" t="s">
        <v>44</v>
      </c>
      <c r="E18" s="4" t="s">
        <v>79</v>
      </c>
      <c r="F18" s="4" t="s">
        <v>33</v>
      </c>
      <c r="G18" s="4" t="s">
        <v>39</v>
      </c>
      <c r="H18" s="5" t="n">
        <v>44636</v>
      </c>
      <c r="I18" s="5" t="n">
        <v>27583</v>
      </c>
      <c r="J18" s="4" t="s">
        <v>22</v>
      </c>
      <c r="K18" s="6" t="n">
        <v>740000</v>
      </c>
      <c r="L18" s="6" t="n">
        <v>24670</v>
      </c>
      <c r="M18" s="6" t="n">
        <v>9870</v>
      </c>
    </row>
    <row r="19" customFormat="false" ht="15" hidden="false" customHeight="false" outlineLevel="0" collapsed="false">
      <c r="A19" s="4" t="s">
        <v>80</v>
      </c>
      <c r="B19" s="4" t="s">
        <v>81</v>
      </c>
      <c r="C19" s="4" t="s">
        <v>82</v>
      </c>
      <c r="D19" s="4" t="s">
        <v>50</v>
      </c>
      <c r="E19" s="4" t="s">
        <v>83</v>
      </c>
      <c r="F19" s="4" t="s">
        <v>33</v>
      </c>
      <c r="G19" s="4" t="s">
        <v>52</v>
      </c>
      <c r="H19" s="5" t="n">
        <v>43572</v>
      </c>
      <c r="I19" s="5" t="n">
        <v>34518</v>
      </c>
      <c r="J19" s="4" t="s">
        <v>22</v>
      </c>
      <c r="K19" s="6" t="n">
        <v>1610000</v>
      </c>
      <c r="L19" s="6" t="n">
        <v>53670</v>
      </c>
      <c r="M19" s="6" t="n">
        <v>21470</v>
      </c>
    </row>
    <row r="20" customFormat="false" ht="15" hidden="false" customHeight="false" outlineLevel="0" collapsed="false">
      <c r="A20" s="4" t="s">
        <v>84</v>
      </c>
      <c r="B20" s="4" t="s">
        <v>85</v>
      </c>
      <c r="C20" s="4" t="s">
        <v>86</v>
      </c>
      <c r="D20" s="4" t="s">
        <v>31</v>
      </c>
      <c r="E20" s="4" t="s">
        <v>87</v>
      </c>
      <c r="F20" s="4" t="s">
        <v>20</v>
      </c>
      <c r="G20" s="4" t="s">
        <v>52</v>
      </c>
      <c r="H20" s="5" t="n">
        <v>45935</v>
      </c>
      <c r="I20" s="5" t="n">
        <v>32284</v>
      </c>
      <c r="J20" s="4" t="s">
        <v>40</v>
      </c>
      <c r="K20" s="6" t="n">
        <v>1740000</v>
      </c>
      <c r="L20" s="6" t="n">
        <v>58000</v>
      </c>
      <c r="M20" s="6" t="n">
        <v>23200</v>
      </c>
    </row>
    <row r="21" customFormat="false" ht="15" hidden="false" customHeight="false" outlineLevel="0" collapsed="false">
      <c r="A21" s="4" t="s">
        <v>88</v>
      </c>
      <c r="B21" s="4" t="s">
        <v>78</v>
      </c>
      <c r="C21" s="4" t="s">
        <v>30</v>
      </c>
      <c r="D21" s="4" t="s">
        <v>37</v>
      </c>
      <c r="E21" s="4" t="s">
        <v>89</v>
      </c>
      <c r="F21" s="4" t="s">
        <v>20</v>
      </c>
      <c r="G21" s="4" t="s">
        <v>90</v>
      </c>
      <c r="H21" s="5" t="n">
        <v>44823</v>
      </c>
      <c r="I21" s="5" t="n">
        <v>32705</v>
      </c>
      <c r="J21" s="4" t="s">
        <v>22</v>
      </c>
      <c r="K21" s="6" t="n">
        <v>490000</v>
      </c>
      <c r="L21" s="6" t="n">
        <v>16330</v>
      </c>
      <c r="M21" s="6" t="n">
        <v>6530</v>
      </c>
    </row>
    <row r="22" customFormat="false" ht="15" hidden="false" customHeight="false" outlineLevel="0" collapsed="false">
      <c r="A22" s="4" t="s">
        <v>91</v>
      </c>
      <c r="B22" s="4" t="s">
        <v>92</v>
      </c>
      <c r="C22" s="4" t="s">
        <v>63</v>
      </c>
      <c r="D22" s="4" t="s">
        <v>58</v>
      </c>
      <c r="E22" s="4" t="s">
        <v>93</v>
      </c>
      <c r="F22" s="4" t="s">
        <v>20</v>
      </c>
      <c r="G22" s="4" t="s">
        <v>90</v>
      </c>
      <c r="H22" s="5" t="n">
        <v>43356</v>
      </c>
      <c r="I22" s="5" t="n">
        <v>36690</v>
      </c>
      <c r="J22" s="4" t="s">
        <v>22</v>
      </c>
      <c r="K22" s="6" t="n">
        <v>660000</v>
      </c>
      <c r="L22" s="6" t="n">
        <v>22000</v>
      </c>
      <c r="M22" s="6" t="n">
        <v>8800</v>
      </c>
    </row>
    <row r="23" customFormat="false" ht="15" hidden="false" customHeight="false" outlineLevel="0" collapsed="false">
      <c r="A23" s="4" t="s">
        <v>94</v>
      </c>
      <c r="B23" s="4" t="s">
        <v>48</v>
      </c>
      <c r="C23" s="4" t="s">
        <v>95</v>
      </c>
      <c r="D23" s="4" t="s">
        <v>18</v>
      </c>
      <c r="E23" s="4" t="s">
        <v>96</v>
      </c>
      <c r="F23" s="4" t="s">
        <v>20</v>
      </c>
      <c r="G23" s="4" t="s">
        <v>60</v>
      </c>
      <c r="H23" s="5" t="n">
        <v>45072</v>
      </c>
      <c r="I23" s="5" t="n">
        <v>35182</v>
      </c>
      <c r="J23" s="4" t="s">
        <v>27</v>
      </c>
      <c r="K23" s="6" t="n">
        <v>870000</v>
      </c>
      <c r="L23" s="6" t="n">
        <v>29000</v>
      </c>
      <c r="M23" s="6" t="n">
        <v>11600</v>
      </c>
    </row>
    <row r="24" customFormat="false" ht="15" hidden="false" customHeight="false" outlineLevel="0" collapsed="false">
      <c r="A24" s="4" t="s">
        <v>97</v>
      </c>
      <c r="B24" s="4" t="s">
        <v>98</v>
      </c>
      <c r="C24" s="4" t="s">
        <v>76</v>
      </c>
      <c r="D24" s="4" t="s">
        <v>50</v>
      </c>
      <c r="E24" s="4" t="s">
        <v>99</v>
      </c>
      <c r="F24" s="4" t="s">
        <v>20</v>
      </c>
      <c r="G24" s="4" t="s">
        <v>21</v>
      </c>
      <c r="H24" s="5" t="n">
        <v>45290</v>
      </c>
      <c r="I24" s="5" t="n">
        <v>32502</v>
      </c>
      <c r="J24" s="4" t="s">
        <v>22</v>
      </c>
      <c r="K24" s="6" t="n">
        <v>1400000</v>
      </c>
      <c r="L24" s="6" t="n">
        <v>46670</v>
      </c>
      <c r="M24" s="6" t="n">
        <v>18670</v>
      </c>
    </row>
    <row r="25" customFormat="false" ht="15" hidden="false" customHeight="false" outlineLevel="0" collapsed="false">
      <c r="A25" s="4" t="s">
        <v>100</v>
      </c>
      <c r="B25" s="4" t="s">
        <v>101</v>
      </c>
      <c r="C25" s="4" t="s">
        <v>82</v>
      </c>
      <c r="D25" s="4" t="s">
        <v>50</v>
      </c>
      <c r="E25" s="4" t="s">
        <v>99</v>
      </c>
      <c r="F25" s="4" t="s">
        <v>20</v>
      </c>
      <c r="G25" s="4" t="s">
        <v>21</v>
      </c>
      <c r="H25" s="5" t="n">
        <v>43290</v>
      </c>
      <c r="I25" s="5" t="n">
        <v>28444</v>
      </c>
      <c r="J25" s="4" t="s">
        <v>22</v>
      </c>
      <c r="K25" s="6" t="n">
        <v>500000</v>
      </c>
      <c r="L25" s="6" t="n">
        <v>16670</v>
      </c>
      <c r="M25" s="6" t="n">
        <v>6670</v>
      </c>
    </row>
    <row r="26" customFormat="false" ht="15" hidden="false" customHeight="false" outlineLevel="0" collapsed="false">
      <c r="A26" s="4" t="s">
        <v>102</v>
      </c>
      <c r="B26" s="4" t="s">
        <v>24</v>
      </c>
      <c r="C26" s="4" t="s">
        <v>103</v>
      </c>
      <c r="D26" s="4" t="s">
        <v>37</v>
      </c>
      <c r="E26" s="4" t="s">
        <v>72</v>
      </c>
      <c r="F26" s="4" t="s">
        <v>20</v>
      </c>
      <c r="G26" s="4" t="s">
        <v>52</v>
      </c>
      <c r="H26" s="5" t="n">
        <v>45269</v>
      </c>
      <c r="I26" s="5" t="n">
        <v>28359</v>
      </c>
      <c r="J26" s="4" t="s">
        <v>22</v>
      </c>
      <c r="K26" s="6" t="n">
        <v>620000</v>
      </c>
      <c r="L26" s="6" t="n">
        <v>20670</v>
      </c>
      <c r="M26" s="6" t="n">
        <v>8270</v>
      </c>
    </row>
    <row r="27" customFormat="false" ht="15" hidden="false" customHeight="false" outlineLevel="0" collapsed="false">
      <c r="A27" s="4" t="s">
        <v>104</v>
      </c>
      <c r="B27" s="4" t="s">
        <v>105</v>
      </c>
      <c r="C27" s="4" t="s">
        <v>106</v>
      </c>
      <c r="D27" s="4" t="s">
        <v>58</v>
      </c>
      <c r="E27" s="4" t="s">
        <v>69</v>
      </c>
      <c r="F27" s="4" t="s">
        <v>20</v>
      </c>
      <c r="G27" s="4" t="s">
        <v>39</v>
      </c>
      <c r="H27" s="5" t="n">
        <v>45110</v>
      </c>
      <c r="I27" s="5" t="n">
        <v>35348</v>
      </c>
      <c r="J27" s="4" t="s">
        <v>22</v>
      </c>
      <c r="K27" s="6" t="n">
        <v>780000</v>
      </c>
      <c r="L27" s="6" t="n">
        <v>26000</v>
      </c>
      <c r="M27" s="6" t="n">
        <v>10400</v>
      </c>
    </row>
    <row r="28" customFormat="false" ht="15" hidden="false" customHeight="false" outlineLevel="0" collapsed="false">
      <c r="A28" s="4" t="s">
        <v>107</v>
      </c>
      <c r="B28" s="4" t="s">
        <v>48</v>
      </c>
      <c r="C28" s="4" t="s">
        <v>63</v>
      </c>
      <c r="D28" s="4" t="s">
        <v>50</v>
      </c>
      <c r="E28" s="4" t="s">
        <v>99</v>
      </c>
      <c r="F28" s="4" t="s">
        <v>20</v>
      </c>
      <c r="G28" s="4" t="s">
        <v>108</v>
      </c>
      <c r="H28" s="5" t="n">
        <v>45677</v>
      </c>
      <c r="I28" s="5" t="n">
        <v>34064</v>
      </c>
      <c r="J28" s="4" t="s">
        <v>22</v>
      </c>
      <c r="K28" s="6" t="n">
        <v>690000</v>
      </c>
      <c r="L28" s="6" t="n">
        <v>23000</v>
      </c>
      <c r="M28" s="6" t="n">
        <v>9200</v>
      </c>
    </row>
    <row r="29" customFormat="false" ht="15" hidden="false" customHeight="false" outlineLevel="0" collapsed="false">
      <c r="A29" s="4" t="s">
        <v>109</v>
      </c>
      <c r="B29" s="4" t="s">
        <v>42</v>
      </c>
      <c r="C29" s="4" t="s">
        <v>110</v>
      </c>
      <c r="D29" s="4" t="s">
        <v>44</v>
      </c>
      <c r="E29" s="4" t="s">
        <v>111</v>
      </c>
      <c r="F29" s="4" t="s">
        <v>33</v>
      </c>
      <c r="G29" s="4" t="s">
        <v>73</v>
      </c>
      <c r="H29" s="5" t="n">
        <v>44282</v>
      </c>
      <c r="I29" s="5" t="n">
        <v>28282</v>
      </c>
      <c r="J29" s="4" t="s">
        <v>22</v>
      </c>
      <c r="K29" s="6" t="n">
        <v>700000</v>
      </c>
      <c r="L29" s="6" t="n">
        <v>23330</v>
      </c>
      <c r="M29" s="6" t="n">
        <v>9330</v>
      </c>
    </row>
    <row r="30" customFormat="false" ht="15" hidden="false" customHeight="false" outlineLevel="0" collapsed="false">
      <c r="A30" s="4" t="s">
        <v>112</v>
      </c>
      <c r="B30" s="4" t="s">
        <v>113</v>
      </c>
      <c r="C30" s="4" t="s">
        <v>57</v>
      </c>
      <c r="D30" s="4" t="s">
        <v>31</v>
      </c>
      <c r="E30" s="4" t="s">
        <v>87</v>
      </c>
      <c r="F30" s="4" t="s">
        <v>20</v>
      </c>
      <c r="G30" s="4" t="s">
        <v>21</v>
      </c>
      <c r="H30" s="5" t="n">
        <v>43154</v>
      </c>
      <c r="I30" s="5" t="n">
        <v>30511</v>
      </c>
      <c r="J30" s="4" t="s">
        <v>27</v>
      </c>
      <c r="K30" s="6" t="n">
        <v>1590000</v>
      </c>
      <c r="L30" s="6" t="n">
        <v>53000</v>
      </c>
      <c r="M30" s="6" t="n">
        <v>21200</v>
      </c>
    </row>
    <row r="31" customFormat="false" ht="15" hidden="false" customHeight="false" outlineLevel="0" collapsed="false">
      <c r="A31" s="4" t="s">
        <v>114</v>
      </c>
      <c r="B31" s="4" t="s">
        <v>75</v>
      </c>
      <c r="C31" s="4" t="s">
        <v>25</v>
      </c>
      <c r="D31" s="4" t="s">
        <v>37</v>
      </c>
      <c r="E31" s="4" t="s">
        <v>89</v>
      </c>
      <c r="F31" s="4" t="s">
        <v>33</v>
      </c>
      <c r="G31" s="4" t="s">
        <v>21</v>
      </c>
      <c r="H31" s="5" t="n">
        <v>45951</v>
      </c>
      <c r="I31" s="5" t="n">
        <v>28630</v>
      </c>
      <c r="J31" s="4" t="s">
        <v>22</v>
      </c>
      <c r="K31" s="6" t="n">
        <v>700000</v>
      </c>
      <c r="L31" s="6" t="n">
        <v>23330</v>
      </c>
      <c r="M31" s="6" t="n">
        <v>9330</v>
      </c>
    </row>
    <row r="32" customFormat="false" ht="15" hidden="false" customHeight="false" outlineLevel="0" collapsed="false">
      <c r="A32" s="4" t="s">
        <v>115</v>
      </c>
      <c r="B32" s="4" t="s">
        <v>113</v>
      </c>
      <c r="C32" s="4" t="s">
        <v>116</v>
      </c>
      <c r="D32" s="4" t="s">
        <v>50</v>
      </c>
      <c r="E32" s="4" t="s">
        <v>51</v>
      </c>
      <c r="F32" s="4" t="s">
        <v>20</v>
      </c>
      <c r="G32" s="4" t="s">
        <v>21</v>
      </c>
      <c r="H32" s="5" t="n">
        <v>43051</v>
      </c>
      <c r="I32" s="5" t="n">
        <v>34053</v>
      </c>
      <c r="J32" s="4" t="s">
        <v>22</v>
      </c>
      <c r="K32" s="6" t="n">
        <v>1680000</v>
      </c>
      <c r="L32" s="6" t="n">
        <v>56000</v>
      </c>
      <c r="M32" s="6" t="n">
        <v>22400</v>
      </c>
    </row>
    <row r="33" customFormat="false" ht="15" hidden="false" customHeight="false" outlineLevel="0" collapsed="false">
      <c r="A33" s="4" t="s">
        <v>117</v>
      </c>
      <c r="B33" s="4" t="s">
        <v>118</v>
      </c>
      <c r="C33" s="4" t="s">
        <v>106</v>
      </c>
      <c r="D33" s="4" t="s">
        <v>44</v>
      </c>
      <c r="E33" s="4" t="s">
        <v>45</v>
      </c>
      <c r="F33" s="4" t="s">
        <v>20</v>
      </c>
      <c r="G33" s="4" t="s">
        <v>73</v>
      </c>
      <c r="H33" s="5" t="n">
        <v>42378</v>
      </c>
      <c r="I33" s="5" t="n">
        <v>33791</v>
      </c>
      <c r="J33" s="4" t="s">
        <v>22</v>
      </c>
      <c r="K33" s="6" t="n">
        <v>1610000</v>
      </c>
      <c r="L33" s="6" t="n">
        <v>53670</v>
      </c>
      <c r="M33" s="6" t="n">
        <v>21470</v>
      </c>
    </row>
    <row r="34" customFormat="false" ht="15" hidden="false" customHeight="false" outlineLevel="0" collapsed="false">
      <c r="A34" s="4" t="s">
        <v>119</v>
      </c>
      <c r="B34" s="4" t="s">
        <v>120</v>
      </c>
      <c r="C34" s="4" t="s">
        <v>25</v>
      </c>
      <c r="D34" s="4" t="s">
        <v>31</v>
      </c>
      <c r="E34" s="4" t="s">
        <v>32</v>
      </c>
      <c r="F34" s="4" t="s">
        <v>33</v>
      </c>
      <c r="G34" s="4" t="s">
        <v>60</v>
      </c>
      <c r="H34" s="5" t="n">
        <v>43147</v>
      </c>
      <c r="I34" s="5" t="n">
        <v>32256</v>
      </c>
      <c r="J34" s="4" t="s">
        <v>22</v>
      </c>
      <c r="K34" s="6" t="n">
        <v>590000</v>
      </c>
      <c r="L34" s="6" t="n">
        <v>19670</v>
      </c>
      <c r="M34" s="6" t="n">
        <v>7870</v>
      </c>
    </row>
    <row r="35" customFormat="false" ht="15" hidden="false" customHeight="false" outlineLevel="0" collapsed="false">
      <c r="A35" s="4" t="s">
        <v>121</v>
      </c>
      <c r="B35" s="4" t="s">
        <v>24</v>
      </c>
      <c r="C35" s="4" t="s">
        <v>86</v>
      </c>
      <c r="D35" s="4" t="s">
        <v>50</v>
      </c>
      <c r="E35" s="4" t="s">
        <v>51</v>
      </c>
      <c r="F35" s="4" t="s">
        <v>33</v>
      </c>
      <c r="G35" s="4" t="s">
        <v>90</v>
      </c>
      <c r="H35" s="5" t="n">
        <v>42575</v>
      </c>
      <c r="I35" s="5" t="n">
        <v>36966</v>
      </c>
      <c r="J35" s="4" t="s">
        <v>22</v>
      </c>
      <c r="K35" s="6" t="n">
        <v>1730000</v>
      </c>
      <c r="L35" s="6" t="n">
        <v>57670</v>
      </c>
      <c r="M35" s="6" t="n">
        <v>23070</v>
      </c>
    </row>
    <row r="36" customFormat="false" ht="15" hidden="false" customHeight="false" outlineLevel="0" collapsed="false">
      <c r="A36" s="4" t="s">
        <v>122</v>
      </c>
      <c r="B36" s="4" t="s">
        <v>123</v>
      </c>
      <c r="C36" s="4" t="s">
        <v>124</v>
      </c>
      <c r="D36" s="4" t="s">
        <v>18</v>
      </c>
      <c r="E36" s="4" t="s">
        <v>96</v>
      </c>
      <c r="F36" s="4" t="s">
        <v>20</v>
      </c>
      <c r="G36" s="4" t="s">
        <v>60</v>
      </c>
      <c r="H36" s="5" t="n">
        <v>42650</v>
      </c>
      <c r="I36" s="5" t="n">
        <v>37144</v>
      </c>
      <c r="J36" s="4" t="s">
        <v>22</v>
      </c>
      <c r="K36" s="6" t="n">
        <v>1050000</v>
      </c>
      <c r="L36" s="6" t="n">
        <v>35000</v>
      </c>
      <c r="M36" s="6" t="n">
        <v>14000</v>
      </c>
    </row>
    <row r="37" customFormat="false" ht="15" hidden="false" customHeight="false" outlineLevel="0" collapsed="false">
      <c r="A37" s="4" t="s">
        <v>125</v>
      </c>
      <c r="B37" s="4" t="s">
        <v>126</v>
      </c>
      <c r="C37" s="4" t="s">
        <v>17</v>
      </c>
      <c r="D37" s="4" t="s">
        <v>50</v>
      </c>
      <c r="E37" s="4" t="s">
        <v>127</v>
      </c>
      <c r="F37" s="4" t="s">
        <v>20</v>
      </c>
      <c r="G37" s="4" t="s">
        <v>52</v>
      </c>
      <c r="H37" s="5" t="n">
        <v>44087</v>
      </c>
      <c r="I37" s="5" t="n">
        <v>36957</v>
      </c>
      <c r="J37" s="4" t="s">
        <v>27</v>
      </c>
      <c r="K37" s="6" t="n">
        <v>1780000</v>
      </c>
      <c r="L37" s="6" t="n">
        <v>59330</v>
      </c>
      <c r="M37" s="6" t="n">
        <v>23730</v>
      </c>
    </row>
    <row r="38" customFormat="false" ht="15" hidden="false" customHeight="false" outlineLevel="0" collapsed="false">
      <c r="A38" s="4" t="s">
        <v>128</v>
      </c>
      <c r="B38" s="4" t="s">
        <v>68</v>
      </c>
      <c r="C38" s="4" t="s">
        <v>63</v>
      </c>
      <c r="D38" s="4" t="s">
        <v>58</v>
      </c>
      <c r="E38" s="4" t="s">
        <v>129</v>
      </c>
      <c r="F38" s="4" t="s">
        <v>33</v>
      </c>
      <c r="G38" s="4" t="s">
        <v>21</v>
      </c>
      <c r="H38" s="5" t="n">
        <v>43457</v>
      </c>
      <c r="I38" s="5" t="n">
        <v>33879</v>
      </c>
      <c r="J38" s="4" t="s">
        <v>22</v>
      </c>
      <c r="K38" s="6" t="n">
        <v>1210000</v>
      </c>
      <c r="L38" s="6" t="n">
        <v>40330</v>
      </c>
      <c r="M38" s="6" t="n">
        <v>16130</v>
      </c>
    </row>
    <row r="39" customFormat="false" ht="15" hidden="false" customHeight="false" outlineLevel="0" collapsed="false">
      <c r="A39" s="4" t="s">
        <v>130</v>
      </c>
      <c r="B39" s="4" t="s">
        <v>131</v>
      </c>
      <c r="C39" s="4" t="s">
        <v>132</v>
      </c>
      <c r="D39" s="4" t="s">
        <v>18</v>
      </c>
      <c r="E39" s="4" t="s">
        <v>26</v>
      </c>
      <c r="F39" s="4" t="s">
        <v>33</v>
      </c>
      <c r="G39" s="4" t="s">
        <v>52</v>
      </c>
      <c r="H39" s="5" t="n">
        <v>42670</v>
      </c>
      <c r="I39" s="5" t="n">
        <v>36203</v>
      </c>
      <c r="J39" s="4" t="s">
        <v>22</v>
      </c>
      <c r="K39" s="6" t="n">
        <v>1740000</v>
      </c>
      <c r="L39" s="6" t="n">
        <v>58000</v>
      </c>
      <c r="M39" s="6" t="n">
        <v>23200</v>
      </c>
    </row>
    <row r="40" customFormat="false" ht="15" hidden="false" customHeight="false" outlineLevel="0" collapsed="false">
      <c r="A40" s="4" t="s">
        <v>133</v>
      </c>
      <c r="B40" s="4" t="s">
        <v>98</v>
      </c>
      <c r="C40" s="4" t="s">
        <v>134</v>
      </c>
      <c r="D40" s="4" t="s">
        <v>58</v>
      </c>
      <c r="E40" s="4" t="s">
        <v>69</v>
      </c>
      <c r="F40" s="4" t="s">
        <v>20</v>
      </c>
      <c r="G40" s="4" t="s">
        <v>46</v>
      </c>
      <c r="H40" s="5" t="n">
        <v>43537</v>
      </c>
      <c r="I40" s="5" t="n">
        <v>29979</v>
      </c>
      <c r="J40" s="4" t="s">
        <v>22</v>
      </c>
      <c r="K40" s="6" t="n">
        <v>1220000</v>
      </c>
      <c r="L40" s="6" t="n">
        <v>40670</v>
      </c>
      <c r="M40" s="6" t="n">
        <v>16270</v>
      </c>
    </row>
    <row r="41" customFormat="false" ht="15" hidden="false" customHeight="false" outlineLevel="0" collapsed="false">
      <c r="A41" s="4" t="s">
        <v>135</v>
      </c>
      <c r="B41" s="4" t="s">
        <v>136</v>
      </c>
      <c r="C41" s="4" t="s">
        <v>36</v>
      </c>
      <c r="D41" s="4" t="s">
        <v>31</v>
      </c>
      <c r="E41" s="4" t="s">
        <v>32</v>
      </c>
      <c r="F41" s="4" t="s">
        <v>20</v>
      </c>
      <c r="G41" s="4" t="s">
        <v>39</v>
      </c>
      <c r="H41" s="5" t="n">
        <v>45087</v>
      </c>
      <c r="I41" s="5" t="n">
        <v>29092</v>
      </c>
      <c r="J41" s="4" t="s">
        <v>22</v>
      </c>
      <c r="K41" s="6" t="n">
        <v>1120000</v>
      </c>
      <c r="L41" s="6" t="n">
        <v>37330</v>
      </c>
      <c r="M41" s="6" t="n">
        <v>14930</v>
      </c>
    </row>
    <row r="42" customFormat="false" ht="15" hidden="false" customHeight="false" outlineLevel="0" collapsed="false">
      <c r="A42" s="4" t="s">
        <v>137</v>
      </c>
      <c r="B42" s="4" t="s">
        <v>92</v>
      </c>
      <c r="C42" s="4" t="s">
        <v>82</v>
      </c>
      <c r="D42" s="4" t="s">
        <v>18</v>
      </c>
      <c r="E42" s="4" t="s">
        <v>96</v>
      </c>
      <c r="F42" s="4" t="s">
        <v>20</v>
      </c>
      <c r="G42" s="4" t="s">
        <v>39</v>
      </c>
      <c r="H42" s="5" t="n">
        <v>43524</v>
      </c>
      <c r="I42" s="5" t="n">
        <v>30845</v>
      </c>
      <c r="J42" s="4" t="s">
        <v>22</v>
      </c>
      <c r="K42" s="6" t="n">
        <v>1320000</v>
      </c>
      <c r="L42" s="6" t="n">
        <v>44000</v>
      </c>
      <c r="M42" s="6" t="n">
        <v>17600</v>
      </c>
    </row>
    <row r="43" customFormat="false" ht="15" hidden="false" customHeight="false" outlineLevel="0" collapsed="false">
      <c r="A43" s="4" t="s">
        <v>138</v>
      </c>
      <c r="B43" s="4" t="s">
        <v>118</v>
      </c>
      <c r="C43" s="4" t="s">
        <v>110</v>
      </c>
      <c r="D43" s="4" t="s">
        <v>31</v>
      </c>
      <c r="E43" s="4" t="s">
        <v>87</v>
      </c>
      <c r="F43" s="4" t="s">
        <v>33</v>
      </c>
      <c r="G43" s="4" t="s">
        <v>39</v>
      </c>
      <c r="H43" s="5" t="n">
        <v>45835</v>
      </c>
      <c r="I43" s="5" t="n">
        <v>28227</v>
      </c>
      <c r="J43" s="4" t="s">
        <v>22</v>
      </c>
      <c r="K43" s="6" t="n">
        <v>1530000</v>
      </c>
      <c r="L43" s="6" t="n">
        <v>51000</v>
      </c>
      <c r="M43" s="6" t="n">
        <v>20400</v>
      </c>
    </row>
    <row r="44" customFormat="false" ht="15" hidden="false" customHeight="false" outlineLevel="0" collapsed="false">
      <c r="A44" s="4" t="s">
        <v>139</v>
      </c>
      <c r="B44" s="4" t="s">
        <v>140</v>
      </c>
      <c r="C44" s="4" t="s">
        <v>141</v>
      </c>
      <c r="D44" s="4" t="s">
        <v>18</v>
      </c>
      <c r="E44" s="4" t="s">
        <v>19</v>
      </c>
      <c r="F44" s="4" t="s">
        <v>20</v>
      </c>
      <c r="G44" s="4" t="s">
        <v>39</v>
      </c>
      <c r="H44" s="5" t="n">
        <v>43031</v>
      </c>
      <c r="I44" s="5" t="n">
        <v>34634</v>
      </c>
      <c r="J44" s="4" t="s">
        <v>27</v>
      </c>
      <c r="K44" s="6" t="n">
        <v>1540000</v>
      </c>
      <c r="L44" s="6" t="n">
        <v>51330</v>
      </c>
      <c r="M44" s="6" t="n">
        <v>20530</v>
      </c>
    </row>
    <row r="45" customFormat="false" ht="15" hidden="false" customHeight="false" outlineLevel="0" collapsed="false">
      <c r="A45" s="4" t="s">
        <v>142</v>
      </c>
      <c r="B45" s="4" t="s">
        <v>29</v>
      </c>
      <c r="C45" s="4" t="s">
        <v>143</v>
      </c>
      <c r="D45" s="4" t="s">
        <v>18</v>
      </c>
      <c r="E45" s="4" t="s">
        <v>26</v>
      </c>
      <c r="F45" s="4" t="s">
        <v>20</v>
      </c>
      <c r="G45" s="4" t="s">
        <v>90</v>
      </c>
      <c r="H45" s="5" t="n">
        <v>45788</v>
      </c>
      <c r="I45" s="5" t="n">
        <v>33444</v>
      </c>
      <c r="J45" s="4" t="s">
        <v>27</v>
      </c>
      <c r="K45" s="6" t="n">
        <v>820000</v>
      </c>
      <c r="L45" s="6" t="n">
        <v>27330</v>
      </c>
      <c r="M45" s="6" t="n">
        <v>10930</v>
      </c>
    </row>
    <row r="46" customFormat="false" ht="15" hidden="false" customHeight="false" outlineLevel="0" collapsed="false">
      <c r="A46" s="4" t="s">
        <v>144</v>
      </c>
      <c r="B46" s="4" t="s">
        <v>145</v>
      </c>
      <c r="C46" s="4" t="s">
        <v>134</v>
      </c>
      <c r="D46" s="4" t="s">
        <v>18</v>
      </c>
      <c r="E46" s="4" t="s">
        <v>19</v>
      </c>
      <c r="F46" s="4" t="s">
        <v>33</v>
      </c>
      <c r="G46" s="4" t="s">
        <v>90</v>
      </c>
      <c r="H46" s="5" t="n">
        <v>43835</v>
      </c>
      <c r="I46" s="5" t="n">
        <v>30836</v>
      </c>
      <c r="J46" s="4" t="s">
        <v>22</v>
      </c>
      <c r="K46" s="6" t="n">
        <v>1080000</v>
      </c>
      <c r="L46" s="6" t="n">
        <v>36000</v>
      </c>
      <c r="M46" s="6" t="n">
        <v>14400</v>
      </c>
    </row>
    <row r="47" customFormat="false" ht="15" hidden="false" customHeight="false" outlineLevel="0" collapsed="false">
      <c r="A47" s="4" t="s">
        <v>146</v>
      </c>
      <c r="B47" s="4" t="s">
        <v>147</v>
      </c>
      <c r="C47" s="4" t="s">
        <v>17</v>
      </c>
      <c r="D47" s="4" t="s">
        <v>58</v>
      </c>
      <c r="E47" s="4" t="s">
        <v>59</v>
      </c>
      <c r="F47" s="4" t="s">
        <v>20</v>
      </c>
      <c r="G47" s="4" t="s">
        <v>21</v>
      </c>
      <c r="H47" s="5" t="n">
        <v>45911</v>
      </c>
      <c r="I47" s="5" t="n">
        <v>30057</v>
      </c>
      <c r="J47" s="4" t="s">
        <v>40</v>
      </c>
      <c r="K47" s="6" t="n">
        <v>900000</v>
      </c>
      <c r="L47" s="6" t="n">
        <v>30000</v>
      </c>
      <c r="M47" s="6" t="n">
        <v>12000</v>
      </c>
    </row>
    <row r="48" customFormat="false" ht="15" hidden="false" customHeight="false" outlineLevel="0" collapsed="false">
      <c r="A48" s="4" t="s">
        <v>148</v>
      </c>
      <c r="B48" s="4" t="s">
        <v>149</v>
      </c>
      <c r="C48" s="4" t="s">
        <v>143</v>
      </c>
      <c r="D48" s="4" t="s">
        <v>37</v>
      </c>
      <c r="E48" s="4" t="s">
        <v>89</v>
      </c>
      <c r="F48" s="4" t="s">
        <v>33</v>
      </c>
      <c r="G48" s="4" t="s">
        <v>21</v>
      </c>
      <c r="H48" s="5" t="n">
        <v>43462</v>
      </c>
      <c r="I48" s="5" t="n">
        <v>30003</v>
      </c>
      <c r="J48" s="4" t="s">
        <v>40</v>
      </c>
      <c r="K48" s="6" t="n">
        <v>720000</v>
      </c>
      <c r="L48" s="6" t="n">
        <v>24000</v>
      </c>
      <c r="M48" s="6" t="n">
        <v>9600</v>
      </c>
    </row>
    <row r="49" customFormat="false" ht="15" hidden="false" customHeight="false" outlineLevel="0" collapsed="false">
      <c r="A49" s="4" t="s">
        <v>150</v>
      </c>
      <c r="B49" s="4" t="s">
        <v>65</v>
      </c>
      <c r="C49" s="4" t="s">
        <v>106</v>
      </c>
      <c r="D49" s="4" t="s">
        <v>18</v>
      </c>
      <c r="E49" s="4" t="s">
        <v>151</v>
      </c>
      <c r="F49" s="4" t="s">
        <v>20</v>
      </c>
      <c r="G49" s="4" t="s">
        <v>21</v>
      </c>
      <c r="H49" s="5" t="n">
        <v>45714</v>
      </c>
      <c r="I49" s="5" t="n">
        <v>34936</v>
      </c>
      <c r="J49" s="4" t="s">
        <v>22</v>
      </c>
      <c r="K49" s="6" t="n">
        <v>1230000</v>
      </c>
      <c r="L49" s="6" t="n">
        <v>41000</v>
      </c>
      <c r="M49" s="6" t="n">
        <v>16400</v>
      </c>
    </row>
    <row r="50" customFormat="false" ht="15" hidden="false" customHeight="false" outlineLevel="0" collapsed="false">
      <c r="A50" s="4" t="s">
        <v>152</v>
      </c>
      <c r="B50" s="4" t="s">
        <v>153</v>
      </c>
      <c r="C50" s="4" t="s">
        <v>154</v>
      </c>
      <c r="D50" s="4" t="s">
        <v>18</v>
      </c>
      <c r="E50" s="4" t="s">
        <v>155</v>
      </c>
      <c r="F50" s="4" t="s">
        <v>33</v>
      </c>
      <c r="G50" s="4" t="s">
        <v>46</v>
      </c>
      <c r="H50" s="5" t="n">
        <v>43511</v>
      </c>
      <c r="I50" s="5" t="n">
        <v>28532</v>
      </c>
      <c r="J50" s="4" t="s">
        <v>40</v>
      </c>
      <c r="K50" s="6" t="n">
        <v>1160000</v>
      </c>
      <c r="L50" s="6" t="n">
        <v>38670</v>
      </c>
      <c r="M50" s="6" t="n">
        <v>15470</v>
      </c>
    </row>
    <row r="51" customFormat="false" ht="15" hidden="false" customHeight="false" outlineLevel="0" collapsed="false">
      <c r="A51" s="4" t="s">
        <v>156</v>
      </c>
      <c r="B51" s="4" t="s">
        <v>157</v>
      </c>
      <c r="C51" s="4" t="s">
        <v>116</v>
      </c>
      <c r="D51" s="4" t="s">
        <v>50</v>
      </c>
      <c r="E51" s="4" t="s">
        <v>99</v>
      </c>
      <c r="F51" s="4" t="s">
        <v>33</v>
      </c>
      <c r="G51" s="4" t="s">
        <v>90</v>
      </c>
      <c r="H51" s="5" t="n">
        <v>42842</v>
      </c>
      <c r="I51" s="5" t="n">
        <v>31674</v>
      </c>
      <c r="J51" s="4" t="s">
        <v>22</v>
      </c>
      <c r="K51" s="6" t="n">
        <v>1120000</v>
      </c>
      <c r="L51" s="6" t="n">
        <v>37330</v>
      </c>
      <c r="M51" s="6" t="n">
        <v>14930</v>
      </c>
    </row>
    <row r="52" customFormat="false" ht="15" hidden="false" customHeight="false" outlineLevel="0" collapsed="false">
      <c r="A52" s="4" t="s">
        <v>158</v>
      </c>
      <c r="B52" s="4" t="s">
        <v>105</v>
      </c>
      <c r="C52" s="4" t="s">
        <v>17</v>
      </c>
      <c r="D52" s="4" t="s">
        <v>50</v>
      </c>
      <c r="E52" s="4" t="s">
        <v>99</v>
      </c>
      <c r="F52" s="4" t="s">
        <v>33</v>
      </c>
      <c r="G52" s="4" t="s">
        <v>46</v>
      </c>
      <c r="H52" s="5" t="n">
        <v>44157</v>
      </c>
      <c r="I52" s="5" t="n">
        <v>35774</v>
      </c>
      <c r="J52" s="4" t="s">
        <v>22</v>
      </c>
      <c r="K52" s="6" t="n">
        <v>1430000</v>
      </c>
      <c r="L52" s="6" t="n">
        <v>47670</v>
      </c>
      <c r="M52" s="6" t="n">
        <v>19070</v>
      </c>
    </row>
    <row r="53" customFormat="false" ht="15" hidden="false" customHeight="false" outlineLevel="0" collapsed="false">
      <c r="A53" s="4" t="s">
        <v>159</v>
      </c>
      <c r="B53" s="4" t="s">
        <v>54</v>
      </c>
      <c r="C53" s="4" t="s">
        <v>30</v>
      </c>
      <c r="D53" s="4" t="s">
        <v>58</v>
      </c>
      <c r="E53" s="4" t="s">
        <v>69</v>
      </c>
      <c r="F53" s="4" t="s">
        <v>33</v>
      </c>
      <c r="G53" s="4" t="s">
        <v>90</v>
      </c>
      <c r="H53" s="5" t="n">
        <v>44499</v>
      </c>
      <c r="I53" s="5" t="n">
        <v>36216</v>
      </c>
      <c r="J53" s="4" t="s">
        <v>22</v>
      </c>
      <c r="K53" s="6" t="n">
        <v>950000</v>
      </c>
      <c r="L53" s="6" t="n">
        <v>31670</v>
      </c>
      <c r="M53" s="6" t="n">
        <v>12670</v>
      </c>
    </row>
    <row r="54" customFormat="false" ht="15" hidden="false" customHeight="false" outlineLevel="0" collapsed="false">
      <c r="A54" s="4" t="s">
        <v>160</v>
      </c>
      <c r="B54" s="4" t="s">
        <v>161</v>
      </c>
      <c r="C54" s="4" t="s">
        <v>25</v>
      </c>
      <c r="D54" s="4" t="s">
        <v>18</v>
      </c>
      <c r="E54" s="4" t="s">
        <v>19</v>
      </c>
      <c r="F54" s="4" t="s">
        <v>33</v>
      </c>
      <c r="G54" s="4" t="s">
        <v>52</v>
      </c>
      <c r="H54" s="5" t="n">
        <v>45318</v>
      </c>
      <c r="I54" s="5" t="n">
        <v>32315</v>
      </c>
      <c r="J54" s="4" t="s">
        <v>27</v>
      </c>
      <c r="K54" s="6" t="n">
        <v>1240000</v>
      </c>
      <c r="L54" s="6" t="n">
        <v>41330</v>
      </c>
      <c r="M54" s="6" t="n">
        <v>16530</v>
      </c>
    </row>
    <row r="55" customFormat="false" ht="15" hidden="false" customHeight="false" outlineLevel="0" collapsed="false">
      <c r="A55" s="4" t="s">
        <v>162</v>
      </c>
      <c r="B55" s="4" t="s">
        <v>147</v>
      </c>
      <c r="C55" s="4" t="s">
        <v>25</v>
      </c>
      <c r="D55" s="4" t="s">
        <v>58</v>
      </c>
      <c r="E55" s="4" t="s">
        <v>59</v>
      </c>
      <c r="F55" s="4" t="s">
        <v>33</v>
      </c>
      <c r="G55" s="4" t="s">
        <v>60</v>
      </c>
      <c r="H55" s="5" t="n">
        <v>43155</v>
      </c>
      <c r="I55" s="5" t="n">
        <v>34283</v>
      </c>
      <c r="J55" s="4" t="s">
        <v>22</v>
      </c>
      <c r="K55" s="6" t="n">
        <v>1420000</v>
      </c>
      <c r="L55" s="6" t="n">
        <v>47330</v>
      </c>
      <c r="M55" s="6" t="n">
        <v>18930</v>
      </c>
    </row>
    <row r="56" customFormat="false" ht="15" hidden="false" customHeight="false" outlineLevel="0" collapsed="false">
      <c r="A56" s="4" t="s">
        <v>163</v>
      </c>
      <c r="B56" s="4" t="s">
        <v>81</v>
      </c>
      <c r="C56" s="4" t="s">
        <v>86</v>
      </c>
      <c r="D56" s="4" t="s">
        <v>37</v>
      </c>
      <c r="E56" s="4" t="s">
        <v>89</v>
      </c>
      <c r="F56" s="4" t="s">
        <v>33</v>
      </c>
      <c r="G56" s="4" t="s">
        <v>90</v>
      </c>
      <c r="H56" s="5" t="n">
        <v>43614</v>
      </c>
      <c r="I56" s="5" t="n">
        <v>32095</v>
      </c>
      <c r="J56" s="4" t="s">
        <v>22</v>
      </c>
      <c r="K56" s="6" t="n">
        <v>1550000</v>
      </c>
      <c r="L56" s="6" t="n">
        <v>51670</v>
      </c>
      <c r="M56" s="6" t="n">
        <v>20670</v>
      </c>
    </row>
    <row r="57" customFormat="false" ht="15" hidden="false" customHeight="false" outlineLevel="0" collapsed="false">
      <c r="A57" s="4" t="s">
        <v>164</v>
      </c>
      <c r="B57" s="4" t="s">
        <v>24</v>
      </c>
      <c r="C57" s="4" t="s">
        <v>165</v>
      </c>
      <c r="D57" s="4" t="s">
        <v>31</v>
      </c>
      <c r="E57" s="4" t="s">
        <v>87</v>
      </c>
      <c r="F57" s="4" t="s">
        <v>33</v>
      </c>
      <c r="G57" s="4" t="s">
        <v>108</v>
      </c>
      <c r="H57" s="5" t="n">
        <v>44181</v>
      </c>
      <c r="I57" s="5" t="n">
        <v>30896</v>
      </c>
      <c r="J57" s="4" t="s">
        <v>27</v>
      </c>
      <c r="K57" s="6" t="n">
        <v>1660000</v>
      </c>
      <c r="L57" s="6" t="n">
        <v>55330</v>
      </c>
      <c r="M57" s="6" t="n">
        <v>22130</v>
      </c>
    </row>
    <row r="58" customFormat="false" ht="15" hidden="false" customHeight="false" outlineLevel="0" collapsed="false">
      <c r="A58" s="4" t="s">
        <v>166</v>
      </c>
      <c r="B58" s="4" t="s">
        <v>167</v>
      </c>
      <c r="C58" s="4" t="s">
        <v>124</v>
      </c>
      <c r="D58" s="4" t="s">
        <v>31</v>
      </c>
      <c r="E58" s="4" t="s">
        <v>55</v>
      </c>
      <c r="F58" s="4" t="s">
        <v>33</v>
      </c>
      <c r="G58" s="4" t="s">
        <v>46</v>
      </c>
      <c r="H58" s="5" t="n">
        <v>42752</v>
      </c>
      <c r="I58" s="5" t="n">
        <v>31243</v>
      </c>
      <c r="J58" s="4" t="s">
        <v>22</v>
      </c>
      <c r="K58" s="6" t="n">
        <v>1240000</v>
      </c>
      <c r="L58" s="6" t="n">
        <v>41330</v>
      </c>
      <c r="M58" s="6" t="n">
        <v>16530</v>
      </c>
    </row>
    <row r="59" customFormat="false" ht="15" hidden="false" customHeight="false" outlineLevel="0" collapsed="false">
      <c r="A59" s="4" t="s">
        <v>168</v>
      </c>
      <c r="B59" s="4" t="s">
        <v>153</v>
      </c>
      <c r="C59" s="4" t="s">
        <v>36</v>
      </c>
      <c r="D59" s="4" t="s">
        <v>37</v>
      </c>
      <c r="E59" s="4" t="s">
        <v>72</v>
      </c>
      <c r="F59" s="4" t="s">
        <v>20</v>
      </c>
      <c r="G59" s="4" t="s">
        <v>90</v>
      </c>
      <c r="H59" s="5" t="n">
        <v>43372</v>
      </c>
      <c r="I59" s="5" t="n">
        <v>35179</v>
      </c>
      <c r="J59" s="4" t="s">
        <v>27</v>
      </c>
      <c r="K59" s="6" t="n">
        <v>630000</v>
      </c>
      <c r="L59" s="6" t="n">
        <v>21000</v>
      </c>
      <c r="M59" s="6" t="n">
        <v>8400</v>
      </c>
    </row>
    <row r="60" customFormat="false" ht="15" hidden="false" customHeight="false" outlineLevel="0" collapsed="false">
      <c r="A60" s="4" t="s">
        <v>169</v>
      </c>
      <c r="B60" s="4" t="s">
        <v>131</v>
      </c>
      <c r="C60" s="4" t="s">
        <v>25</v>
      </c>
      <c r="D60" s="4" t="s">
        <v>31</v>
      </c>
      <c r="E60" s="4" t="s">
        <v>32</v>
      </c>
      <c r="F60" s="4" t="s">
        <v>20</v>
      </c>
      <c r="G60" s="4" t="s">
        <v>73</v>
      </c>
      <c r="H60" s="5" t="n">
        <v>44394</v>
      </c>
      <c r="I60" s="5" t="n">
        <v>33942</v>
      </c>
      <c r="J60" s="4" t="s">
        <v>22</v>
      </c>
      <c r="K60" s="6" t="n">
        <v>820000</v>
      </c>
      <c r="L60" s="6" t="n">
        <v>27330</v>
      </c>
      <c r="M60" s="6" t="n">
        <v>10930</v>
      </c>
    </row>
    <row r="61" customFormat="false" ht="15" hidden="false" customHeight="false" outlineLevel="0" collapsed="false">
      <c r="A61" s="4" t="s">
        <v>170</v>
      </c>
      <c r="B61" s="4" t="s">
        <v>171</v>
      </c>
      <c r="C61" s="4" t="s">
        <v>172</v>
      </c>
      <c r="D61" s="4" t="s">
        <v>18</v>
      </c>
      <c r="E61" s="4" t="s">
        <v>26</v>
      </c>
      <c r="F61" s="4" t="s">
        <v>33</v>
      </c>
      <c r="G61" s="4" t="s">
        <v>21</v>
      </c>
      <c r="H61" s="5" t="n">
        <v>43090</v>
      </c>
      <c r="I61" s="5" t="n">
        <v>35881</v>
      </c>
      <c r="J61" s="4" t="s">
        <v>22</v>
      </c>
      <c r="K61" s="6" t="n">
        <v>570000</v>
      </c>
      <c r="L61" s="6" t="n">
        <v>19000</v>
      </c>
      <c r="M61" s="6" t="n">
        <v>7600</v>
      </c>
    </row>
    <row r="62" customFormat="false" ht="15" hidden="false" customHeight="false" outlineLevel="0" collapsed="false">
      <c r="A62" s="4" t="s">
        <v>173</v>
      </c>
      <c r="B62" s="4" t="s">
        <v>29</v>
      </c>
      <c r="C62" s="4" t="s">
        <v>154</v>
      </c>
      <c r="D62" s="4" t="s">
        <v>18</v>
      </c>
      <c r="E62" s="4" t="s">
        <v>151</v>
      </c>
      <c r="F62" s="4" t="s">
        <v>20</v>
      </c>
      <c r="G62" s="4" t="s">
        <v>108</v>
      </c>
      <c r="H62" s="5" t="n">
        <v>45104</v>
      </c>
      <c r="I62" s="5" t="n">
        <v>36097</v>
      </c>
      <c r="J62" s="4" t="s">
        <v>27</v>
      </c>
      <c r="K62" s="6" t="n">
        <v>1260000</v>
      </c>
      <c r="L62" s="6" t="n">
        <v>42000</v>
      </c>
      <c r="M62" s="6" t="n">
        <v>16800</v>
      </c>
    </row>
    <row r="63" customFormat="false" ht="15" hidden="false" customHeight="false" outlineLevel="0" collapsed="false">
      <c r="A63" s="4" t="s">
        <v>174</v>
      </c>
      <c r="B63" s="4" t="s">
        <v>35</v>
      </c>
      <c r="C63" s="4" t="s">
        <v>82</v>
      </c>
      <c r="D63" s="4" t="s">
        <v>44</v>
      </c>
      <c r="E63" s="4" t="s">
        <v>79</v>
      </c>
      <c r="F63" s="4" t="s">
        <v>33</v>
      </c>
      <c r="G63" s="4" t="s">
        <v>60</v>
      </c>
      <c r="H63" s="5" t="n">
        <v>45416</v>
      </c>
      <c r="I63" s="5" t="n">
        <v>35172</v>
      </c>
      <c r="J63" s="4" t="s">
        <v>22</v>
      </c>
      <c r="K63" s="6" t="n">
        <v>1110000</v>
      </c>
      <c r="L63" s="6" t="n">
        <v>37000</v>
      </c>
      <c r="M63" s="6" t="n">
        <v>14800</v>
      </c>
    </row>
    <row r="64" customFormat="false" ht="15" hidden="false" customHeight="false" outlineLevel="0" collapsed="false">
      <c r="A64" s="4" t="s">
        <v>175</v>
      </c>
      <c r="B64" s="4" t="s">
        <v>35</v>
      </c>
      <c r="C64" s="4" t="s">
        <v>154</v>
      </c>
      <c r="D64" s="4" t="s">
        <v>31</v>
      </c>
      <c r="E64" s="4" t="s">
        <v>87</v>
      </c>
      <c r="F64" s="4" t="s">
        <v>33</v>
      </c>
      <c r="G64" s="4" t="s">
        <v>21</v>
      </c>
      <c r="H64" s="5" t="n">
        <v>43494</v>
      </c>
      <c r="I64" s="5" t="n">
        <v>34601</v>
      </c>
      <c r="J64" s="4" t="s">
        <v>22</v>
      </c>
      <c r="K64" s="6" t="n">
        <v>1180000</v>
      </c>
      <c r="L64" s="6" t="n">
        <v>39330</v>
      </c>
      <c r="M64" s="6" t="n">
        <v>15730</v>
      </c>
    </row>
    <row r="65" customFormat="false" ht="15" hidden="false" customHeight="false" outlineLevel="0" collapsed="false">
      <c r="A65" s="4" t="s">
        <v>176</v>
      </c>
      <c r="B65" s="4" t="s">
        <v>177</v>
      </c>
      <c r="C65" s="4" t="s">
        <v>66</v>
      </c>
      <c r="D65" s="4" t="s">
        <v>58</v>
      </c>
      <c r="E65" s="4" t="s">
        <v>93</v>
      </c>
      <c r="F65" s="4" t="s">
        <v>20</v>
      </c>
      <c r="G65" s="4" t="s">
        <v>60</v>
      </c>
      <c r="H65" s="5" t="n">
        <v>42987</v>
      </c>
      <c r="I65" s="5" t="n">
        <v>31183</v>
      </c>
      <c r="J65" s="4" t="s">
        <v>22</v>
      </c>
      <c r="K65" s="6" t="n">
        <v>840000</v>
      </c>
      <c r="L65" s="6" t="n">
        <v>28000</v>
      </c>
      <c r="M65" s="6" t="n">
        <v>11200</v>
      </c>
    </row>
    <row r="66" customFormat="false" ht="15" hidden="false" customHeight="false" outlineLevel="0" collapsed="false">
      <c r="A66" s="4" t="s">
        <v>178</v>
      </c>
      <c r="B66" s="4" t="s">
        <v>179</v>
      </c>
      <c r="C66" s="4" t="s">
        <v>30</v>
      </c>
      <c r="D66" s="4" t="s">
        <v>18</v>
      </c>
      <c r="E66" s="4" t="s">
        <v>151</v>
      </c>
      <c r="F66" s="4" t="s">
        <v>33</v>
      </c>
      <c r="G66" s="4" t="s">
        <v>46</v>
      </c>
      <c r="H66" s="5" t="n">
        <v>44592</v>
      </c>
      <c r="I66" s="5" t="n">
        <v>35028</v>
      </c>
      <c r="J66" s="4" t="s">
        <v>22</v>
      </c>
      <c r="K66" s="6" t="n">
        <v>600000</v>
      </c>
      <c r="L66" s="6" t="n">
        <v>20000</v>
      </c>
      <c r="M66" s="6" t="n">
        <v>8000</v>
      </c>
    </row>
    <row r="67" customFormat="false" ht="15" hidden="false" customHeight="false" outlineLevel="0" collapsed="false">
      <c r="A67" s="4" t="s">
        <v>180</v>
      </c>
      <c r="B67" s="4" t="s">
        <v>118</v>
      </c>
      <c r="C67" s="4" t="s">
        <v>181</v>
      </c>
      <c r="D67" s="4" t="s">
        <v>44</v>
      </c>
      <c r="E67" s="4" t="s">
        <v>79</v>
      </c>
      <c r="F67" s="4" t="s">
        <v>20</v>
      </c>
      <c r="G67" s="4" t="s">
        <v>73</v>
      </c>
      <c r="H67" s="5" t="n">
        <v>44323</v>
      </c>
      <c r="I67" s="5" t="n">
        <v>27491</v>
      </c>
      <c r="J67" s="4" t="s">
        <v>22</v>
      </c>
      <c r="K67" s="6" t="n">
        <v>1210000</v>
      </c>
      <c r="L67" s="6" t="n">
        <v>40330</v>
      </c>
      <c r="M67" s="6" t="n">
        <v>16130</v>
      </c>
    </row>
    <row r="68" customFormat="false" ht="15" hidden="false" customHeight="false" outlineLevel="0" collapsed="false">
      <c r="A68" s="4" t="s">
        <v>182</v>
      </c>
      <c r="B68" s="4" t="s">
        <v>35</v>
      </c>
      <c r="C68" s="4" t="s">
        <v>57</v>
      </c>
      <c r="D68" s="4" t="s">
        <v>44</v>
      </c>
      <c r="E68" s="4" t="s">
        <v>183</v>
      </c>
      <c r="F68" s="4" t="s">
        <v>33</v>
      </c>
      <c r="G68" s="4" t="s">
        <v>21</v>
      </c>
      <c r="H68" s="5" t="n">
        <v>43487</v>
      </c>
      <c r="I68" s="5" t="n">
        <v>34535</v>
      </c>
      <c r="J68" s="4" t="s">
        <v>22</v>
      </c>
      <c r="K68" s="6" t="n">
        <v>520000</v>
      </c>
      <c r="L68" s="6" t="n">
        <v>17330</v>
      </c>
      <c r="M68" s="6" t="n">
        <v>6930</v>
      </c>
    </row>
    <row r="69" customFormat="false" ht="15" hidden="false" customHeight="false" outlineLevel="0" collapsed="false">
      <c r="A69" s="4" t="s">
        <v>184</v>
      </c>
      <c r="B69" s="4" t="s">
        <v>65</v>
      </c>
      <c r="C69" s="4" t="s">
        <v>132</v>
      </c>
      <c r="D69" s="4" t="s">
        <v>31</v>
      </c>
      <c r="E69" s="4" t="s">
        <v>32</v>
      </c>
      <c r="F69" s="4" t="s">
        <v>33</v>
      </c>
      <c r="G69" s="4" t="s">
        <v>60</v>
      </c>
      <c r="H69" s="5" t="n">
        <v>45812</v>
      </c>
      <c r="I69" s="5" t="n">
        <v>35052</v>
      </c>
      <c r="J69" s="4" t="s">
        <v>22</v>
      </c>
      <c r="K69" s="6" t="n">
        <v>510000</v>
      </c>
      <c r="L69" s="6" t="n">
        <v>17000</v>
      </c>
      <c r="M69" s="6" t="n">
        <v>6800</v>
      </c>
    </row>
    <row r="70" customFormat="false" ht="15" hidden="false" customHeight="false" outlineLevel="0" collapsed="false">
      <c r="A70" s="4" t="s">
        <v>185</v>
      </c>
      <c r="B70" s="4" t="s">
        <v>126</v>
      </c>
      <c r="C70" s="4" t="s">
        <v>186</v>
      </c>
      <c r="D70" s="4" t="s">
        <v>50</v>
      </c>
      <c r="E70" s="4" t="s">
        <v>51</v>
      </c>
      <c r="F70" s="4" t="s">
        <v>20</v>
      </c>
      <c r="G70" s="4" t="s">
        <v>73</v>
      </c>
      <c r="H70" s="5" t="n">
        <v>42925</v>
      </c>
      <c r="I70" s="5" t="n">
        <v>34959</v>
      </c>
      <c r="J70" s="4" t="s">
        <v>22</v>
      </c>
      <c r="K70" s="6" t="n">
        <v>570000</v>
      </c>
      <c r="L70" s="6" t="n">
        <v>19000</v>
      </c>
      <c r="M70" s="6" t="n">
        <v>7600</v>
      </c>
    </row>
    <row r="71" customFormat="false" ht="15" hidden="false" customHeight="false" outlineLevel="0" collapsed="false">
      <c r="A71" s="4" t="s">
        <v>187</v>
      </c>
      <c r="B71" s="4" t="s">
        <v>98</v>
      </c>
      <c r="C71" s="4" t="s">
        <v>57</v>
      </c>
      <c r="D71" s="4" t="s">
        <v>58</v>
      </c>
      <c r="E71" s="4" t="s">
        <v>129</v>
      </c>
      <c r="F71" s="4" t="s">
        <v>33</v>
      </c>
      <c r="G71" s="4" t="s">
        <v>46</v>
      </c>
      <c r="H71" s="5" t="n">
        <v>43752</v>
      </c>
      <c r="I71" s="5" t="n">
        <v>33606</v>
      </c>
      <c r="J71" s="4" t="s">
        <v>22</v>
      </c>
      <c r="K71" s="6" t="n">
        <v>1520000</v>
      </c>
      <c r="L71" s="6" t="n">
        <v>50670</v>
      </c>
      <c r="M71" s="6" t="n">
        <v>20270</v>
      </c>
    </row>
    <row r="72" customFormat="false" ht="15" hidden="false" customHeight="false" outlineLevel="0" collapsed="false">
      <c r="A72" s="4" t="s">
        <v>188</v>
      </c>
      <c r="B72" s="4" t="s">
        <v>98</v>
      </c>
      <c r="C72" s="4" t="s">
        <v>181</v>
      </c>
      <c r="D72" s="4" t="s">
        <v>18</v>
      </c>
      <c r="E72" s="4" t="s">
        <v>151</v>
      </c>
      <c r="F72" s="4" t="s">
        <v>20</v>
      </c>
      <c r="G72" s="4" t="s">
        <v>90</v>
      </c>
      <c r="H72" s="5" t="n">
        <v>43803</v>
      </c>
      <c r="I72" s="5" t="n">
        <v>31068</v>
      </c>
      <c r="J72" s="4" t="s">
        <v>22</v>
      </c>
      <c r="K72" s="6" t="n">
        <v>620000</v>
      </c>
      <c r="L72" s="6" t="n">
        <v>20670</v>
      </c>
      <c r="M72" s="6" t="n">
        <v>8270</v>
      </c>
    </row>
    <row r="73" customFormat="false" ht="15" hidden="false" customHeight="false" outlineLevel="0" collapsed="false">
      <c r="A73" s="4" t="s">
        <v>189</v>
      </c>
      <c r="B73" s="4" t="s">
        <v>190</v>
      </c>
      <c r="C73" s="4" t="s">
        <v>116</v>
      </c>
      <c r="D73" s="4" t="s">
        <v>18</v>
      </c>
      <c r="E73" s="4" t="s">
        <v>26</v>
      </c>
      <c r="F73" s="4" t="s">
        <v>20</v>
      </c>
      <c r="G73" s="4" t="s">
        <v>21</v>
      </c>
      <c r="H73" s="5" t="n">
        <v>45807</v>
      </c>
      <c r="I73" s="5" t="n">
        <v>27728</v>
      </c>
      <c r="J73" s="4" t="s">
        <v>27</v>
      </c>
      <c r="K73" s="6" t="n">
        <v>840000</v>
      </c>
      <c r="L73" s="6" t="n">
        <v>28000</v>
      </c>
      <c r="M73" s="6" t="n">
        <v>11200</v>
      </c>
    </row>
    <row r="74" customFormat="false" ht="15" hidden="false" customHeight="false" outlineLevel="0" collapsed="false">
      <c r="A74" s="4" t="s">
        <v>191</v>
      </c>
      <c r="B74" s="4" t="s">
        <v>177</v>
      </c>
      <c r="C74" s="4" t="s">
        <v>134</v>
      </c>
      <c r="D74" s="4" t="s">
        <v>44</v>
      </c>
      <c r="E74" s="4" t="s">
        <v>45</v>
      </c>
      <c r="F74" s="4" t="s">
        <v>20</v>
      </c>
      <c r="G74" s="4" t="s">
        <v>108</v>
      </c>
      <c r="H74" s="5" t="n">
        <v>45235</v>
      </c>
      <c r="I74" s="5" t="n">
        <v>31593</v>
      </c>
      <c r="J74" s="4" t="s">
        <v>40</v>
      </c>
      <c r="K74" s="6" t="n">
        <v>1390000</v>
      </c>
      <c r="L74" s="6" t="n">
        <v>46330</v>
      </c>
      <c r="M74" s="6" t="n">
        <v>18530</v>
      </c>
    </row>
    <row r="75" customFormat="false" ht="15" hidden="false" customHeight="false" outlineLevel="0" collapsed="false">
      <c r="A75" s="4" t="s">
        <v>192</v>
      </c>
      <c r="B75" s="4" t="s">
        <v>193</v>
      </c>
      <c r="C75" s="4" t="s">
        <v>165</v>
      </c>
      <c r="D75" s="4" t="s">
        <v>50</v>
      </c>
      <c r="E75" s="4" t="s">
        <v>51</v>
      </c>
      <c r="F75" s="4" t="s">
        <v>20</v>
      </c>
      <c r="G75" s="4" t="s">
        <v>39</v>
      </c>
      <c r="H75" s="5" t="n">
        <v>42812</v>
      </c>
      <c r="I75" s="5" t="n">
        <v>36876</v>
      </c>
      <c r="J75" s="4" t="s">
        <v>22</v>
      </c>
      <c r="K75" s="6" t="n">
        <v>1240000</v>
      </c>
      <c r="L75" s="6" t="n">
        <v>41330</v>
      </c>
      <c r="M75" s="6" t="n">
        <v>16530</v>
      </c>
    </row>
    <row r="76" customFormat="false" ht="15" hidden="false" customHeight="false" outlineLevel="0" collapsed="false">
      <c r="A76" s="4" t="s">
        <v>194</v>
      </c>
      <c r="B76" s="4" t="s">
        <v>54</v>
      </c>
      <c r="C76" s="4" t="s">
        <v>110</v>
      </c>
      <c r="D76" s="4" t="s">
        <v>44</v>
      </c>
      <c r="E76" s="4" t="s">
        <v>79</v>
      </c>
      <c r="F76" s="4" t="s">
        <v>20</v>
      </c>
      <c r="G76" s="4" t="s">
        <v>52</v>
      </c>
      <c r="H76" s="5" t="n">
        <v>44795</v>
      </c>
      <c r="I76" s="5" t="n">
        <v>31373</v>
      </c>
      <c r="J76" s="4" t="s">
        <v>22</v>
      </c>
      <c r="K76" s="6" t="n">
        <v>1220000</v>
      </c>
      <c r="L76" s="6" t="n">
        <v>40670</v>
      </c>
      <c r="M76" s="6" t="n">
        <v>16270</v>
      </c>
    </row>
    <row r="77" customFormat="false" ht="15" hidden="false" customHeight="false" outlineLevel="0" collapsed="false">
      <c r="A77" s="4" t="s">
        <v>195</v>
      </c>
      <c r="B77" s="4" t="s">
        <v>81</v>
      </c>
      <c r="C77" s="4" t="s">
        <v>165</v>
      </c>
      <c r="D77" s="4" t="s">
        <v>18</v>
      </c>
      <c r="E77" s="4" t="s">
        <v>96</v>
      </c>
      <c r="F77" s="4" t="s">
        <v>20</v>
      </c>
      <c r="G77" s="4" t="s">
        <v>46</v>
      </c>
      <c r="H77" s="5" t="n">
        <v>44552</v>
      </c>
      <c r="I77" s="5" t="n">
        <v>34413</v>
      </c>
      <c r="J77" s="4" t="s">
        <v>22</v>
      </c>
      <c r="K77" s="6" t="n">
        <v>1390000</v>
      </c>
      <c r="L77" s="6" t="n">
        <v>46330</v>
      </c>
      <c r="M77" s="6" t="n">
        <v>18530</v>
      </c>
    </row>
    <row r="78" customFormat="false" ht="15" hidden="false" customHeight="false" outlineLevel="0" collapsed="false">
      <c r="A78" s="4" t="s">
        <v>196</v>
      </c>
      <c r="B78" s="4" t="s">
        <v>197</v>
      </c>
      <c r="C78" s="4" t="s">
        <v>76</v>
      </c>
      <c r="D78" s="4" t="s">
        <v>31</v>
      </c>
      <c r="E78" s="4" t="s">
        <v>87</v>
      </c>
      <c r="F78" s="4" t="s">
        <v>20</v>
      </c>
      <c r="G78" s="4" t="s">
        <v>73</v>
      </c>
      <c r="H78" s="5" t="n">
        <v>45738</v>
      </c>
      <c r="I78" s="5" t="n">
        <v>35426</v>
      </c>
      <c r="J78" s="4" t="s">
        <v>22</v>
      </c>
      <c r="K78" s="6" t="n">
        <v>1550000</v>
      </c>
      <c r="L78" s="6" t="n">
        <v>51670</v>
      </c>
      <c r="M78" s="6" t="n">
        <v>20670</v>
      </c>
    </row>
    <row r="79" customFormat="false" ht="15" hidden="false" customHeight="false" outlineLevel="0" collapsed="false">
      <c r="A79" s="4" t="s">
        <v>198</v>
      </c>
      <c r="B79" s="4" t="s">
        <v>161</v>
      </c>
      <c r="C79" s="4" t="s">
        <v>116</v>
      </c>
      <c r="D79" s="4" t="s">
        <v>44</v>
      </c>
      <c r="E79" s="4" t="s">
        <v>183</v>
      </c>
      <c r="F79" s="4" t="s">
        <v>33</v>
      </c>
      <c r="G79" s="4" t="s">
        <v>60</v>
      </c>
      <c r="H79" s="5" t="n">
        <v>45375</v>
      </c>
      <c r="I79" s="5" t="n">
        <v>35943</v>
      </c>
      <c r="J79" s="4" t="s">
        <v>22</v>
      </c>
      <c r="K79" s="6" t="n">
        <v>1140000</v>
      </c>
      <c r="L79" s="6" t="n">
        <v>38000</v>
      </c>
      <c r="M79" s="6" t="n">
        <v>15200</v>
      </c>
    </row>
    <row r="80" customFormat="false" ht="15" hidden="false" customHeight="false" outlineLevel="0" collapsed="false">
      <c r="A80" s="4" t="s">
        <v>199</v>
      </c>
      <c r="B80" s="4" t="s">
        <v>136</v>
      </c>
      <c r="C80" s="4" t="s">
        <v>36</v>
      </c>
      <c r="D80" s="4" t="s">
        <v>50</v>
      </c>
      <c r="E80" s="4" t="s">
        <v>99</v>
      </c>
      <c r="F80" s="4" t="s">
        <v>33</v>
      </c>
      <c r="G80" s="4" t="s">
        <v>73</v>
      </c>
      <c r="H80" s="5" t="n">
        <v>45752</v>
      </c>
      <c r="I80" s="5" t="n">
        <v>37102</v>
      </c>
      <c r="J80" s="4" t="s">
        <v>22</v>
      </c>
      <c r="K80" s="6" t="n">
        <v>1270000</v>
      </c>
      <c r="L80" s="6" t="n">
        <v>42330</v>
      </c>
      <c r="M80" s="6" t="n">
        <v>16930</v>
      </c>
    </row>
    <row r="81" customFormat="false" ht="15" hidden="false" customHeight="false" outlineLevel="0" collapsed="false">
      <c r="A81" s="4" t="s">
        <v>200</v>
      </c>
      <c r="B81" s="4" t="s">
        <v>177</v>
      </c>
      <c r="C81" s="4" t="s">
        <v>181</v>
      </c>
      <c r="D81" s="4" t="s">
        <v>18</v>
      </c>
      <c r="E81" s="4" t="s">
        <v>19</v>
      </c>
      <c r="F81" s="4" t="s">
        <v>33</v>
      </c>
      <c r="G81" s="4" t="s">
        <v>21</v>
      </c>
      <c r="H81" s="5" t="n">
        <v>45443</v>
      </c>
      <c r="I81" s="5" t="n">
        <v>35008</v>
      </c>
      <c r="J81" s="4" t="s">
        <v>27</v>
      </c>
      <c r="K81" s="6" t="n">
        <v>1420000</v>
      </c>
      <c r="L81" s="6" t="n">
        <v>47330</v>
      </c>
      <c r="M81" s="6" t="n">
        <v>18930</v>
      </c>
    </row>
    <row r="82" customFormat="false" ht="15" hidden="false" customHeight="false" outlineLevel="0" collapsed="false">
      <c r="A82" s="4" t="s">
        <v>201</v>
      </c>
      <c r="B82" s="4" t="s">
        <v>202</v>
      </c>
      <c r="C82" s="4" t="s">
        <v>143</v>
      </c>
      <c r="D82" s="4" t="s">
        <v>44</v>
      </c>
      <c r="E82" s="4" t="s">
        <v>111</v>
      </c>
      <c r="F82" s="4" t="s">
        <v>20</v>
      </c>
      <c r="G82" s="4" t="s">
        <v>108</v>
      </c>
      <c r="H82" s="5" t="n">
        <v>43238</v>
      </c>
      <c r="I82" s="5" t="n">
        <v>33208</v>
      </c>
      <c r="J82" s="4" t="s">
        <v>40</v>
      </c>
      <c r="K82" s="6" t="n">
        <v>1110000</v>
      </c>
      <c r="L82" s="6" t="n">
        <v>37000</v>
      </c>
      <c r="M82" s="6" t="n">
        <v>14800</v>
      </c>
    </row>
    <row r="83" customFormat="false" ht="15" hidden="false" customHeight="false" outlineLevel="0" collapsed="false">
      <c r="A83" s="4" t="s">
        <v>203</v>
      </c>
      <c r="B83" s="4" t="s">
        <v>202</v>
      </c>
      <c r="C83" s="4" t="s">
        <v>66</v>
      </c>
      <c r="D83" s="4" t="s">
        <v>50</v>
      </c>
      <c r="E83" s="4" t="s">
        <v>83</v>
      </c>
      <c r="F83" s="4" t="s">
        <v>20</v>
      </c>
      <c r="G83" s="4" t="s">
        <v>21</v>
      </c>
      <c r="H83" s="5" t="n">
        <v>42720</v>
      </c>
      <c r="I83" s="5" t="n">
        <v>31349</v>
      </c>
      <c r="J83" s="4" t="s">
        <v>22</v>
      </c>
      <c r="K83" s="6" t="n">
        <v>1490000</v>
      </c>
      <c r="L83" s="6" t="n">
        <v>49670</v>
      </c>
      <c r="M83" s="6" t="n">
        <v>19870</v>
      </c>
    </row>
    <row r="84" customFormat="false" ht="15" hidden="false" customHeight="false" outlineLevel="0" collapsed="false">
      <c r="A84" s="4" t="s">
        <v>204</v>
      </c>
      <c r="B84" s="4" t="s">
        <v>205</v>
      </c>
      <c r="C84" s="4" t="s">
        <v>103</v>
      </c>
      <c r="D84" s="4" t="s">
        <v>37</v>
      </c>
      <c r="E84" s="4" t="s">
        <v>38</v>
      </c>
      <c r="F84" s="4" t="s">
        <v>33</v>
      </c>
      <c r="G84" s="4" t="s">
        <v>108</v>
      </c>
      <c r="H84" s="5" t="n">
        <v>45617</v>
      </c>
      <c r="I84" s="5" t="n">
        <v>27677</v>
      </c>
      <c r="J84" s="4" t="s">
        <v>22</v>
      </c>
      <c r="K84" s="6" t="n">
        <v>1200000</v>
      </c>
      <c r="L84" s="6" t="n">
        <v>40000</v>
      </c>
      <c r="M84" s="6" t="n">
        <v>16000</v>
      </c>
    </row>
    <row r="85" customFormat="false" ht="15" hidden="false" customHeight="false" outlineLevel="0" collapsed="false">
      <c r="A85" s="4" t="s">
        <v>206</v>
      </c>
      <c r="B85" s="4" t="s">
        <v>153</v>
      </c>
      <c r="C85" s="4" t="s">
        <v>57</v>
      </c>
      <c r="D85" s="4" t="s">
        <v>31</v>
      </c>
      <c r="E85" s="4" t="s">
        <v>55</v>
      </c>
      <c r="F85" s="4" t="s">
        <v>33</v>
      </c>
      <c r="G85" s="4" t="s">
        <v>46</v>
      </c>
      <c r="H85" s="5" t="n">
        <v>44308</v>
      </c>
      <c r="I85" s="5" t="n">
        <v>36463</v>
      </c>
      <c r="J85" s="4" t="s">
        <v>27</v>
      </c>
      <c r="K85" s="6" t="n">
        <v>1330000</v>
      </c>
      <c r="L85" s="6" t="n">
        <v>44330</v>
      </c>
      <c r="M85" s="6" t="n">
        <v>17730</v>
      </c>
    </row>
    <row r="86" customFormat="false" ht="15" hidden="false" customHeight="false" outlineLevel="0" collapsed="false">
      <c r="A86" s="4" t="s">
        <v>207</v>
      </c>
      <c r="B86" s="4" t="s">
        <v>145</v>
      </c>
      <c r="C86" s="4" t="s">
        <v>86</v>
      </c>
      <c r="D86" s="4" t="s">
        <v>50</v>
      </c>
      <c r="E86" s="4" t="s">
        <v>83</v>
      </c>
      <c r="F86" s="4" t="s">
        <v>33</v>
      </c>
      <c r="G86" s="4" t="s">
        <v>108</v>
      </c>
      <c r="H86" s="5" t="n">
        <v>43479</v>
      </c>
      <c r="I86" s="5" t="n">
        <v>32418</v>
      </c>
      <c r="J86" s="4" t="s">
        <v>22</v>
      </c>
      <c r="K86" s="6" t="n">
        <v>1040000</v>
      </c>
      <c r="L86" s="6" t="n">
        <v>34670</v>
      </c>
      <c r="M86" s="6" t="n">
        <v>13870</v>
      </c>
    </row>
    <row r="87" customFormat="false" ht="15" hidden="false" customHeight="false" outlineLevel="0" collapsed="false">
      <c r="A87" s="4" t="s">
        <v>208</v>
      </c>
      <c r="B87" s="4" t="s">
        <v>92</v>
      </c>
      <c r="C87" s="4" t="s">
        <v>86</v>
      </c>
      <c r="D87" s="4" t="s">
        <v>37</v>
      </c>
      <c r="E87" s="4" t="s">
        <v>89</v>
      </c>
      <c r="F87" s="4" t="s">
        <v>20</v>
      </c>
      <c r="G87" s="4" t="s">
        <v>60</v>
      </c>
      <c r="H87" s="5" t="n">
        <v>43154</v>
      </c>
      <c r="I87" s="5" t="n">
        <v>30940</v>
      </c>
      <c r="J87" s="4" t="s">
        <v>22</v>
      </c>
      <c r="K87" s="6" t="n">
        <v>1680000</v>
      </c>
      <c r="L87" s="6" t="n">
        <v>56000</v>
      </c>
      <c r="M87" s="6" t="n">
        <v>22400</v>
      </c>
    </row>
    <row r="88" customFormat="false" ht="15" hidden="false" customHeight="false" outlineLevel="0" collapsed="false">
      <c r="A88" s="4" t="s">
        <v>209</v>
      </c>
      <c r="B88" s="4" t="s">
        <v>140</v>
      </c>
      <c r="C88" s="4" t="s">
        <v>86</v>
      </c>
      <c r="D88" s="4" t="s">
        <v>50</v>
      </c>
      <c r="E88" s="4" t="s">
        <v>83</v>
      </c>
      <c r="F88" s="4" t="s">
        <v>20</v>
      </c>
      <c r="G88" s="4" t="s">
        <v>21</v>
      </c>
      <c r="H88" s="5" t="n">
        <v>43583</v>
      </c>
      <c r="I88" s="5" t="n">
        <v>31122</v>
      </c>
      <c r="J88" s="4" t="s">
        <v>22</v>
      </c>
      <c r="K88" s="6" t="n">
        <v>900000</v>
      </c>
      <c r="L88" s="6" t="n">
        <v>30000</v>
      </c>
      <c r="M88" s="6" t="n">
        <v>12000</v>
      </c>
    </row>
    <row r="89" customFormat="false" ht="15" hidden="false" customHeight="false" outlineLevel="0" collapsed="false">
      <c r="A89" s="4" t="s">
        <v>210</v>
      </c>
      <c r="B89" s="4" t="s">
        <v>211</v>
      </c>
      <c r="C89" s="4" t="s">
        <v>143</v>
      </c>
      <c r="D89" s="4" t="s">
        <v>31</v>
      </c>
      <c r="E89" s="4" t="s">
        <v>32</v>
      </c>
      <c r="F89" s="4" t="s">
        <v>20</v>
      </c>
      <c r="G89" s="4" t="s">
        <v>39</v>
      </c>
      <c r="H89" s="5" t="n">
        <v>42556</v>
      </c>
      <c r="I89" s="5" t="n">
        <v>28288</v>
      </c>
      <c r="J89" s="4" t="s">
        <v>27</v>
      </c>
      <c r="K89" s="6" t="n">
        <v>1190000</v>
      </c>
      <c r="L89" s="6" t="n">
        <v>39670</v>
      </c>
      <c r="M89" s="6" t="n">
        <v>15870</v>
      </c>
    </row>
    <row r="90" customFormat="false" ht="15" hidden="false" customHeight="false" outlineLevel="0" collapsed="false">
      <c r="A90" s="4" t="s">
        <v>212</v>
      </c>
      <c r="B90" s="4" t="s">
        <v>62</v>
      </c>
      <c r="C90" s="4" t="s">
        <v>134</v>
      </c>
      <c r="D90" s="4" t="s">
        <v>31</v>
      </c>
      <c r="E90" s="4" t="s">
        <v>87</v>
      </c>
      <c r="F90" s="4" t="s">
        <v>20</v>
      </c>
      <c r="G90" s="4" t="s">
        <v>90</v>
      </c>
      <c r="H90" s="5" t="n">
        <v>44721</v>
      </c>
      <c r="I90" s="5" t="n">
        <v>32053</v>
      </c>
      <c r="J90" s="4" t="s">
        <v>22</v>
      </c>
      <c r="K90" s="6" t="n">
        <v>1670000</v>
      </c>
      <c r="L90" s="6" t="n">
        <v>55670</v>
      </c>
      <c r="M90" s="6" t="n">
        <v>22270</v>
      </c>
    </row>
    <row r="91" customFormat="false" ht="15" hidden="false" customHeight="false" outlineLevel="0" collapsed="false">
      <c r="A91" s="4" t="s">
        <v>213</v>
      </c>
      <c r="B91" s="4" t="s">
        <v>101</v>
      </c>
      <c r="C91" s="4" t="s">
        <v>132</v>
      </c>
      <c r="D91" s="4" t="s">
        <v>37</v>
      </c>
      <c r="E91" s="4" t="s">
        <v>214</v>
      </c>
      <c r="F91" s="4" t="s">
        <v>33</v>
      </c>
      <c r="G91" s="4" t="s">
        <v>108</v>
      </c>
      <c r="H91" s="5" t="n">
        <v>42837</v>
      </c>
      <c r="I91" s="5" t="n">
        <v>28465</v>
      </c>
      <c r="J91" s="4" t="s">
        <v>22</v>
      </c>
      <c r="K91" s="6" t="n">
        <v>1700000</v>
      </c>
      <c r="L91" s="6" t="n">
        <v>56670</v>
      </c>
      <c r="M91" s="6" t="n">
        <v>22670</v>
      </c>
    </row>
    <row r="92" customFormat="false" ht="15" hidden="false" customHeight="false" outlineLevel="0" collapsed="false">
      <c r="A92" s="4" t="s">
        <v>215</v>
      </c>
      <c r="B92" s="4" t="s">
        <v>197</v>
      </c>
      <c r="C92" s="4" t="s">
        <v>186</v>
      </c>
      <c r="D92" s="4" t="s">
        <v>31</v>
      </c>
      <c r="E92" s="4" t="s">
        <v>32</v>
      </c>
      <c r="F92" s="4" t="s">
        <v>20</v>
      </c>
      <c r="G92" s="4" t="s">
        <v>60</v>
      </c>
      <c r="H92" s="5" t="n">
        <v>42981</v>
      </c>
      <c r="I92" s="5" t="n">
        <v>36616</v>
      </c>
      <c r="J92" s="4" t="s">
        <v>22</v>
      </c>
      <c r="K92" s="6" t="n">
        <v>660000</v>
      </c>
      <c r="L92" s="6" t="n">
        <v>22000</v>
      </c>
      <c r="M92" s="6" t="n">
        <v>8800</v>
      </c>
    </row>
    <row r="93" customFormat="false" ht="15" hidden="false" customHeight="false" outlineLevel="0" collapsed="false">
      <c r="A93" s="4" t="s">
        <v>216</v>
      </c>
      <c r="B93" s="4" t="s">
        <v>177</v>
      </c>
      <c r="C93" s="4" t="s">
        <v>17</v>
      </c>
      <c r="D93" s="4" t="s">
        <v>50</v>
      </c>
      <c r="E93" s="4" t="s">
        <v>99</v>
      </c>
      <c r="F93" s="4" t="s">
        <v>20</v>
      </c>
      <c r="G93" s="4" t="s">
        <v>73</v>
      </c>
      <c r="H93" s="5" t="n">
        <v>44215</v>
      </c>
      <c r="I93" s="5" t="n">
        <v>34648</v>
      </c>
      <c r="J93" s="4" t="s">
        <v>22</v>
      </c>
      <c r="K93" s="6" t="n">
        <v>1540000</v>
      </c>
      <c r="L93" s="6" t="n">
        <v>51330</v>
      </c>
      <c r="M93" s="6" t="n">
        <v>20530</v>
      </c>
    </row>
    <row r="94" customFormat="false" ht="15" hidden="false" customHeight="false" outlineLevel="0" collapsed="false">
      <c r="A94" s="4" t="s">
        <v>217</v>
      </c>
      <c r="B94" s="4" t="s">
        <v>211</v>
      </c>
      <c r="C94" s="4" t="s">
        <v>186</v>
      </c>
      <c r="D94" s="4" t="s">
        <v>50</v>
      </c>
      <c r="E94" s="4" t="s">
        <v>51</v>
      </c>
      <c r="F94" s="4" t="s">
        <v>20</v>
      </c>
      <c r="G94" s="4" t="s">
        <v>21</v>
      </c>
      <c r="H94" s="5" t="n">
        <v>44932</v>
      </c>
      <c r="I94" s="5" t="n">
        <v>30852</v>
      </c>
      <c r="J94" s="4" t="s">
        <v>22</v>
      </c>
      <c r="K94" s="6" t="n">
        <v>650000</v>
      </c>
      <c r="L94" s="6" t="n">
        <v>21670</v>
      </c>
      <c r="M94" s="6" t="n">
        <v>8670</v>
      </c>
    </row>
    <row r="95" customFormat="false" ht="15" hidden="false" customHeight="false" outlineLevel="0" collapsed="false">
      <c r="A95" s="4" t="s">
        <v>218</v>
      </c>
      <c r="B95" s="4" t="s">
        <v>193</v>
      </c>
      <c r="C95" s="4" t="s">
        <v>154</v>
      </c>
      <c r="D95" s="4" t="s">
        <v>37</v>
      </c>
      <c r="E95" s="4" t="s">
        <v>214</v>
      </c>
      <c r="F95" s="4" t="s">
        <v>20</v>
      </c>
      <c r="G95" s="4" t="s">
        <v>90</v>
      </c>
      <c r="H95" s="5" t="n">
        <v>44043</v>
      </c>
      <c r="I95" s="5" t="n">
        <v>34776</v>
      </c>
      <c r="J95" s="4" t="s">
        <v>22</v>
      </c>
      <c r="K95" s="6" t="n">
        <v>1650000</v>
      </c>
      <c r="L95" s="6" t="n">
        <v>55000</v>
      </c>
      <c r="M95" s="6" t="n">
        <v>22000</v>
      </c>
    </row>
    <row r="96" customFormat="false" ht="15" hidden="false" customHeight="false" outlineLevel="0" collapsed="false">
      <c r="A96" s="4" t="s">
        <v>219</v>
      </c>
      <c r="B96" s="4" t="s">
        <v>120</v>
      </c>
      <c r="C96" s="4" t="s">
        <v>141</v>
      </c>
      <c r="D96" s="4" t="s">
        <v>37</v>
      </c>
      <c r="E96" s="4" t="s">
        <v>89</v>
      </c>
      <c r="F96" s="4" t="s">
        <v>33</v>
      </c>
      <c r="G96" s="4" t="s">
        <v>108</v>
      </c>
      <c r="H96" s="5" t="n">
        <v>42661</v>
      </c>
      <c r="I96" s="5" t="n">
        <v>31219</v>
      </c>
      <c r="J96" s="4" t="s">
        <v>22</v>
      </c>
      <c r="K96" s="6" t="n">
        <v>950000</v>
      </c>
      <c r="L96" s="6" t="n">
        <v>31670</v>
      </c>
      <c r="M96" s="6" t="n">
        <v>12670</v>
      </c>
    </row>
    <row r="97" customFormat="false" ht="15" hidden="false" customHeight="false" outlineLevel="0" collapsed="false">
      <c r="A97" s="4" t="s">
        <v>220</v>
      </c>
      <c r="B97" s="4" t="s">
        <v>145</v>
      </c>
      <c r="C97" s="4" t="s">
        <v>17</v>
      </c>
      <c r="D97" s="4" t="s">
        <v>50</v>
      </c>
      <c r="E97" s="4" t="s">
        <v>127</v>
      </c>
      <c r="F97" s="4" t="s">
        <v>20</v>
      </c>
      <c r="G97" s="4" t="s">
        <v>39</v>
      </c>
      <c r="H97" s="5" t="n">
        <v>45755</v>
      </c>
      <c r="I97" s="5" t="n">
        <v>29725</v>
      </c>
      <c r="J97" s="4" t="s">
        <v>22</v>
      </c>
      <c r="K97" s="6" t="n">
        <v>600000</v>
      </c>
      <c r="L97" s="6" t="n">
        <v>20000</v>
      </c>
      <c r="M97" s="6" t="n">
        <v>8000</v>
      </c>
    </row>
    <row r="98" customFormat="false" ht="15" hidden="false" customHeight="false" outlineLevel="0" collapsed="false">
      <c r="A98" s="4" t="s">
        <v>221</v>
      </c>
      <c r="B98" s="4" t="s">
        <v>193</v>
      </c>
      <c r="C98" s="4" t="s">
        <v>36</v>
      </c>
      <c r="D98" s="4" t="s">
        <v>58</v>
      </c>
      <c r="E98" s="4" t="s">
        <v>93</v>
      </c>
      <c r="F98" s="4" t="s">
        <v>33</v>
      </c>
      <c r="G98" s="4" t="s">
        <v>52</v>
      </c>
      <c r="H98" s="5" t="n">
        <v>44289</v>
      </c>
      <c r="I98" s="5" t="n">
        <v>32377</v>
      </c>
      <c r="J98" s="4" t="s">
        <v>22</v>
      </c>
      <c r="K98" s="6" t="n">
        <v>1480000</v>
      </c>
      <c r="L98" s="6" t="n">
        <v>49330</v>
      </c>
      <c r="M98" s="6" t="n">
        <v>19730</v>
      </c>
    </row>
    <row r="99" customFormat="false" ht="15" hidden="false" customHeight="false" outlineLevel="0" collapsed="false">
      <c r="A99" s="4" t="s">
        <v>222</v>
      </c>
      <c r="B99" s="4" t="s">
        <v>140</v>
      </c>
      <c r="C99" s="4" t="s">
        <v>76</v>
      </c>
      <c r="D99" s="4" t="s">
        <v>50</v>
      </c>
      <c r="E99" s="4" t="s">
        <v>99</v>
      </c>
      <c r="F99" s="4" t="s">
        <v>33</v>
      </c>
      <c r="G99" s="4" t="s">
        <v>52</v>
      </c>
      <c r="H99" s="5" t="n">
        <v>44819</v>
      </c>
      <c r="I99" s="5" t="n">
        <v>28048</v>
      </c>
      <c r="J99" s="4" t="s">
        <v>22</v>
      </c>
      <c r="K99" s="6" t="n">
        <v>1270000</v>
      </c>
      <c r="L99" s="6" t="n">
        <v>42330</v>
      </c>
      <c r="M99" s="6" t="n">
        <v>16930</v>
      </c>
    </row>
    <row r="100" customFormat="false" ht="15" hidden="false" customHeight="false" outlineLevel="0" collapsed="false">
      <c r="A100" s="4" t="s">
        <v>223</v>
      </c>
      <c r="B100" s="4" t="s">
        <v>78</v>
      </c>
      <c r="C100" s="4" t="s">
        <v>66</v>
      </c>
      <c r="D100" s="4" t="s">
        <v>18</v>
      </c>
      <c r="E100" s="4" t="s">
        <v>26</v>
      </c>
      <c r="F100" s="4" t="s">
        <v>20</v>
      </c>
      <c r="G100" s="4" t="s">
        <v>90</v>
      </c>
      <c r="H100" s="5" t="n">
        <v>45502</v>
      </c>
      <c r="I100" s="5" t="n">
        <v>31810</v>
      </c>
      <c r="J100" s="4" t="s">
        <v>27</v>
      </c>
      <c r="K100" s="6" t="n">
        <v>550000</v>
      </c>
      <c r="L100" s="6" t="n">
        <v>18330</v>
      </c>
      <c r="M100" s="6" t="n">
        <v>7330</v>
      </c>
    </row>
    <row r="101" customFormat="false" ht="15" hidden="false" customHeight="false" outlineLevel="0" collapsed="false">
      <c r="A101" s="4" t="s">
        <v>224</v>
      </c>
      <c r="B101" s="4" t="s">
        <v>35</v>
      </c>
      <c r="C101" s="4" t="s">
        <v>225</v>
      </c>
      <c r="D101" s="4" t="s">
        <v>37</v>
      </c>
      <c r="E101" s="4" t="s">
        <v>38</v>
      </c>
      <c r="F101" s="4" t="s">
        <v>33</v>
      </c>
      <c r="G101" s="4" t="s">
        <v>39</v>
      </c>
      <c r="H101" s="5" t="n">
        <v>43113</v>
      </c>
      <c r="I101" s="5" t="n">
        <v>36985</v>
      </c>
      <c r="J101" s="4" t="s">
        <v>22</v>
      </c>
      <c r="K101" s="6" t="n">
        <v>1700000</v>
      </c>
      <c r="L101" s="6" t="n">
        <v>56670</v>
      </c>
      <c r="M101" s="6" t="n">
        <v>22670</v>
      </c>
    </row>
    <row r="102" customFormat="false" ht="15" hidden="false" customHeight="false" outlineLevel="0" collapsed="false">
      <c r="A102" s="4" t="s">
        <v>226</v>
      </c>
      <c r="B102" s="4" t="s">
        <v>227</v>
      </c>
      <c r="C102" s="4" t="s">
        <v>95</v>
      </c>
      <c r="D102" s="4" t="s">
        <v>58</v>
      </c>
      <c r="E102" s="4" t="s">
        <v>59</v>
      </c>
      <c r="F102" s="4" t="s">
        <v>33</v>
      </c>
      <c r="G102" s="4" t="s">
        <v>46</v>
      </c>
      <c r="H102" s="5" t="n">
        <v>45114</v>
      </c>
      <c r="I102" s="5" t="n">
        <v>29108</v>
      </c>
      <c r="J102" s="4" t="s">
        <v>40</v>
      </c>
      <c r="K102" s="6" t="n">
        <v>860000</v>
      </c>
      <c r="L102" s="6" t="n">
        <v>28670</v>
      </c>
      <c r="M102" s="6" t="n">
        <v>11470</v>
      </c>
    </row>
    <row r="103" customFormat="false" ht="15" hidden="false" customHeight="false" outlineLevel="0" collapsed="false">
      <c r="A103" s="4" t="s">
        <v>228</v>
      </c>
      <c r="B103" s="4" t="s">
        <v>202</v>
      </c>
      <c r="C103" s="4" t="s">
        <v>25</v>
      </c>
      <c r="D103" s="4" t="s">
        <v>31</v>
      </c>
      <c r="E103" s="4" t="s">
        <v>87</v>
      </c>
      <c r="F103" s="4" t="s">
        <v>33</v>
      </c>
      <c r="G103" s="4" t="s">
        <v>73</v>
      </c>
      <c r="H103" s="5" t="n">
        <v>45702</v>
      </c>
      <c r="I103" s="5" t="n">
        <v>36407</v>
      </c>
      <c r="J103" s="4" t="s">
        <v>22</v>
      </c>
      <c r="K103" s="6" t="n">
        <v>1610000</v>
      </c>
      <c r="L103" s="6" t="n">
        <v>53670</v>
      </c>
      <c r="M103" s="6" t="n">
        <v>21470</v>
      </c>
    </row>
    <row r="104" customFormat="false" ht="15" hidden="false" customHeight="false" outlineLevel="0" collapsed="false">
      <c r="A104" s="4" t="s">
        <v>229</v>
      </c>
      <c r="B104" s="4" t="s">
        <v>227</v>
      </c>
      <c r="C104" s="4" t="s">
        <v>132</v>
      </c>
      <c r="D104" s="4" t="s">
        <v>58</v>
      </c>
      <c r="E104" s="4" t="s">
        <v>93</v>
      </c>
      <c r="F104" s="4" t="s">
        <v>20</v>
      </c>
      <c r="G104" s="4" t="s">
        <v>73</v>
      </c>
      <c r="H104" s="5" t="n">
        <v>45912</v>
      </c>
      <c r="I104" s="5" t="n">
        <v>35826</v>
      </c>
      <c r="J104" s="4" t="s">
        <v>40</v>
      </c>
      <c r="K104" s="6" t="n">
        <v>450000</v>
      </c>
      <c r="L104" s="6" t="n">
        <v>15000</v>
      </c>
      <c r="M104" s="6" t="n">
        <v>6000</v>
      </c>
    </row>
    <row r="105" customFormat="false" ht="15" hidden="false" customHeight="false" outlineLevel="0" collapsed="false">
      <c r="A105" s="4" t="s">
        <v>230</v>
      </c>
      <c r="B105" s="4" t="s">
        <v>147</v>
      </c>
      <c r="C105" s="4" t="s">
        <v>106</v>
      </c>
      <c r="D105" s="4" t="s">
        <v>50</v>
      </c>
      <c r="E105" s="4" t="s">
        <v>99</v>
      </c>
      <c r="F105" s="4" t="s">
        <v>33</v>
      </c>
      <c r="G105" s="4" t="s">
        <v>90</v>
      </c>
      <c r="H105" s="5" t="n">
        <v>43138</v>
      </c>
      <c r="I105" s="5" t="n">
        <v>35889</v>
      </c>
      <c r="J105" s="4" t="s">
        <v>22</v>
      </c>
      <c r="K105" s="6" t="n">
        <v>1720000</v>
      </c>
      <c r="L105" s="6" t="n">
        <v>57330</v>
      </c>
      <c r="M105" s="6" t="n">
        <v>22930</v>
      </c>
    </row>
    <row r="106" customFormat="false" ht="15" hidden="false" customHeight="false" outlineLevel="0" collapsed="false">
      <c r="A106" s="4" t="s">
        <v>231</v>
      </c>
      <c r="B106" s="4" t="s">
        <v>16</v>
      </c>
      <c r="C106" s="4" t="s">
        <v>49</v>
      </c>
      <c r="D106" s="4" t="s">
        <v>18</v>
      </c>
      <c r="E106" s="4" t="s">
        <v>155</v>
      </c>
      <c r="F106" s="4" t="s">
        <v>33</v>
      </c>
      <c r="G106" s="4" t="s">
        <v>60</v>
      </c>
      <c r="H106" s="5" t="n">
        <v>43549</v>
      </c>
      <c r="I106" s="5" t="n">
        <v>34573</v>
      </c>
      <c r="J106" s="4" t="s">
        <v>22</v>
      </c>
      <c r="K106" s="6" t="n">
        <v>1690000</v>
      </c>
      <c r="L106" s="6" t="n">
        <v>56330</v>
      </c>
      <c r="M106" s="6" t="n">
        <v>22530</v>
      </c>
    </row>
    <row r="107" customFormat="false" ht="15" hidden="false" customHeight="false" outlineLevel="0" collapsed="false">
      <c r="A107" s="4" t="s">
        <v>232</v>
      </c>
      <c r="B107" s="4" t="s">
        <v>92</v>
      </c>
      <c r="C107" s="4" t="s">
        <v>143</v>
      </c>
      <c r="D107" s="4" t="s">
        <v>31</v>
      </c>
      <c r="E107" s="4" t="s">
        <v>32</v>
      </c>
      <c r="F107" s="4" t="s">
        <v>20</v>
      </c>
      <c r="G107" s="4" t="s">
        <v>60</v>
      </c>
      <c r="H107" s="5" t="n">
        <v>43642</v>
      </c>
      <c r="I107" s="5" t="n">
        <v>36419</v>
      </c>
      <c r="J107" s="4" t="s">
        <v>22</v>
      </c>
      <c r="K107" s="6" t="n">
        <v>1490000</v>
      </c>
      <c r="L107" s="6" t="n">
        <v>49670</v>
      </c>
      <c r="M107" s="6" t="n">
        <v>19870</v>
      </c>
    </row>
    <row r="108" customFormat="false" ht="15" hidden="false" customHeight="false" outlineLevel="0" collapsed="false">
      <c r="A108" s="4" t="s">
        <v>233</v>
      </c>
      <c r="B108" s="4" t="s">
        <v>227</v>
      </c>
      <c r="C108" s="4" t="s">
        <v>154</v>
      </c>
      <c r="D108" s="4" t="s">
        <v>18</v>
      </c>
      <c r="E108" s="4" t="s">
        <v>151</v>
      </c>
      <c r="F108" s="4" t="s">
        <v>20</v>
      </c>
      <c r="G108" s="4" t="s">
        <v>60</v>
      </c>
      <c r="H108" s="5" t="n">
        <v>44411</v>
      </c>
      <c r="I108" s="5" t="n">
        <v>32176</v>
      </c>
      <c r="J108" s="4" t="s">
        <v>27</v>
      </c>
      <c r="K108" s="6" t="n">
        <v>1140000</v>
      </c>
      <c r="L108" s="6" t="n">
        <v>38000</v>
      </c>
      <c r="M108" s="6" t="n">
        <v>15200</v>
      </c>
    </row>
    <row r="109" customFormat="false" ht="15" hidden="false" customHeight="false" outlineLevel="0" collapsed="false">
      <c r="A109" s="4" t="s">
        <v>234</v>
      </c>
      <c r="B109" s="4" t="s">
        <v>149</v>
      </c>
      <c r="C109" s="4" t="s">
        <v>181</v>
      </c>
      <c r="D109" s="4" t="s">
        <v>44</v>
      </c>
      <c r="E109" s="4" t="s">
        <v>79</v>
      </c>
      <c r="F109" s="4" t="s">
        <v>20</v>
      </c>
      <c r="G109" s="4" t="s">
        <v>108</v>
      </c>
      <c r="H109" s="5" t="n">
        <v>44627</v>
      </c>
      <c r="I109" s="5" t="n">
        <v>29764</v>
      </c>
      <c r="J109" s="4" t="s">
        <v>22</v>
      </c>
      <c r="K109" s="6" t="n">
        <v>930000</v>
      </c>
      <c r="L109" s="6" t="n">
        <v>31000</v>
      </c>
      <c r="M109" s="6" t="n">
        <v>12400</v>
      </c>
    </row>
    <row r="110" customFormat="false" ht="15" hidden="false" customHeight="false" outlineLevel="0" collapsed="false">
      <c r="A110" s="4" t="s">
        <v>235</v>
      </c>
      <c r="B110" s="4" t="s">
        <v>78</v>
      </c>
      <c r="C110" s="4" t="s">
        <v>76</v>
      </c>
      <c r="D110" s="4" t="s">
        <v>31</v>
      </c>
      <c r="E110" s="4" t="s">
        <v>55</v>
      </c>
      <c r="F110" s="4" t="s">
        <v>20</v>
      </c>
      <c r="G110" s="4" t="s">
        <v>39</v>
      </c>
      <c r="H110" s="5" t="n">
        <v>45534</v>
      </c>
      <c r="I110" s="5" t="n">
        <v>34193</v>
      </c>
      <c r="J110" s="4" t="s">
        <v>22</v>
      </c>
      <c r="K110" s="6" t="n">
        <v>1740000</v>
      </c>
      <c r="L110" s="6" t="n">
        <v>58000</v>
      </c>
      <c r="M110" s="6" t="n">
        <v>23200</v>
      </c>
    </row>
    <row r="111" customFormat="false" ht="15" hidden="false" customHeight="false" outlineLevel="0" collapsed="false">
      <c r="A111" s="4" t="s">
        <v>236</v>
      </c>
      <c r="B111" s="4" t="s">
        <v>140</v>
      </c>
      <c r="C111" s="4" t="s">
        <v>181</v>
      </c>
      <c r="D111" s="4" t="s">
        <v>18</v>
      </c>
      <c r="E111" s="4" t="s">
        <v>19</v>
      </c>
      <c r="F111" s="4" t="s">
        <v>33</v>
      </c>
      <c r="G111" s="4" t="s">
        <v>108</v>
      </c>
      <c r="H111" s="5" t="n">
        <v>45914</v>
      </c>
      <c r="I111" s="5" t="n">
        <v>29829</v>
      </c>
      <c r="J111" s="4" t="s">
        <v>22</v>
      </c>
      <c r="K111" s="6" t="n">
        <v>1680000</v>
      </c>
      <c r="L111" s="6" t="n">
        <v>56000</v>
      </c>
      <c r="M111" s="6" t="n">
        <v>22400</v>
      </c>
    </row>
    <row r="112" customFormat="false" ht="15" hidden="false" customHeight="false" outlineLevel="0" collapsed="false">
      <c r="A112" s="4" t="s">
        <v>237</v>
      </c>
      <c r="B112" s="4" t="s">
        <v>157</v>
      </c>
      <c r="C112" s="4" t="s">
        <v>132</v>
      </c>
      <c r="D112" s="4" t="s">
        <v>50</v>
      </c>
      <c r="E112" s="4" t="s">
        <v>99</v>
      </c>
      <c r="F112" s="4" t="s">
        <v>33</v>
      </c>
      <c r="G112" s="4" t="s">
        <v>46</v>
      </c>
      <c r="H112" s="5" t="n">
        <v>45931</v>
      </c>
      <c r="I112" s="5" t="n">
        <v>30485</v>
      </c>
      <c r="J112" s="4" t="s">
        <v>22</v>
      </c>
      <c r="K112" s="6" t="n">
        <v>1060000</v>
      </c>
      <c r="L112" s="6" t="n">
        <v>35330</v>
      </c>
      <c r="M112" s="6" t="n">
        <v>14130</v>
      </c>
    </row>
    <row r="113" customFormat="false" ht="15" hidden="false" customHeight="false" outlineLevel="0" collapsed="false">
      <c r="A113" s="4" t="s">
        <v>238</v>
      </c>
      <c r="B113" s="4" t="s">
        <v>54</v>
      </c>
      <c r="C113" s="4" t="s">
        <v>57</v>
      </c>
      <c r="D113" s="4" t="s">
        <v>37</v>
      </c>
      <c r="E113" s="4" t="s">
        <v>38</v>
      </c>
      <c r="F113" s="4" t="s">
        <v>20</v>
      </c>
      <c r="G113" s="4" t="s">
        <v>46</v>
      </c>
      <c r="H113" s="5" t="n">
        <v>45420</v>
      </c>
      <c r="I113" s="5" t="n">
        <v>35144</v>
      </c>
      <c r="J113" s="4" t="s">
        <v>22</v>
      </c>
      <c r="K113" s="6" t="n">
        <v>1420000</v>
      </c>
      <c r="L113" s="6" t="n">
        <v>47330</v>
      </c>
      <c r="M113" s="6" t="n">
        <v>18930</v>
      </c>
    </row>
    <row r="114" customFormat="false" ht="15" hidden="false" customHeight="false" outlineLevel="0" collapsed="false">
      <c r="A114" s="4" t="s">
        <v>239</v>
      </c>
      <c r="B114" s="4" t="s">
        <v>65</v>
      </c>
      <c r="C114" s="4" t="s">
        <v>110</v>
      </c>
      <c r="D114" s="4" t="s">
        <v>31</v>
      </c>
      <c r="E114" s="4" t="s">
        <v>55</v>
      </c>
      <c r="F114" s="4" t="s">
        <v>33</v>
      </c>
      <c r="G114" s="4" t="s">
        <v>90</v>
      </c>
      <c r="H114" s="5" t="n">
        <v>42887</v>
      </c>
      <c r="I114" s="5" t="n">
        <v>35624</v>
      </c>
      <c r="J114" s="4" t="s">
        <v>27</v>
      </c>
      <c r="K114" s="6" t="n">
        <v>1290000</v>
      </c>
      <c r="L114" s="6" t="n">
        <v>43000</v>
      </c>
      <c r="M114" s="6" t="n">
        <v>17200</v>
      </c>
    </row>
    <row r="115" customFormat="false" ht="15" hidden="false" customHeight="false" outlineLevel="0" collapsed="false">
      <c r="A115" s="4" t="s">
        <v>240</v>
      </c>
      <c r="B115" s="4" t="s">
        <v>42</v>
      </c>
      <c r="C115" s="4" t="s">
        <v>106</v>
      </c>
      <c r="D115" s="4" t="s">
        <v>44</v>
      </c>
      <c r="E115" s="4" t="s">
        <v>45</v>
      </c>
      <c r="F115" s="4" t="s">
        <v>33</v>
      </c>
      <c r="G115" s="4" t="s">
        <v>90</v>
      </c>
      <c r="H115" s="5" t="n">
        <v>45329</v>
      </c>
      <c r="I115" s="5" t="n">
        <v>29756</v>
      </c>
      <c r="J115" s="4" t="s">
        <v>22</v>
      </c>
      <c r="K115" s="6" t="n">
        <v>840000</v>
      </c>
      <c r="L115" s="6" t="n">
        <v>28000</v>
      </c>
      <c r="M115" s="6" t="n">
        <v>11200</v>
      </c>
    </row>
    <row r="116" customFormat="false" ht="15" hidden="false" customHeight="false" outlineLevel="0" collapsed="false">
      <c r="A116" s="4" t="s">
        <v>241</v>
      </c>
      <c r="B116" s="4" t="s">
        <v>197</v>
      </c>
      <c r="C116" s="4" t="s">
        <v>95</v>
      </c>
      <c r="D116" s="4" t="s">
        <v>58</v>
      </c>
      <c r="E116" s="4" t="s">
        <v>93</v>
      </c>
      <c r="F116" s="4" t="s">
        <v>33</v>
      </c>
      <c r="G116" s="4" t="s">
        <v>52</v>
      </c>
      <c r="H116" s="5" t="n">
        <v>45858</v>
      </c>
      <c r="I116" s="5" t="n">
        <v>32778</v>
      </c>
      <c r="J116" s="4" t="s">
        <v>40</v>
      </c>
      <c r="K116" s="6" t="n">
        <v>1420000</v>
      </c>
      <c r="L116" s="6" t="n">
        <v>47330</v>
      </c>
      <c r="M116" s="6" t="n">
        <v>18930</v>
      </c>
    </row>
    <row r="117" customFormat="false" ht="15" hidden="false" customHeight="false" outlineLevel="0" collapsed="false">
      <c r="A117" s="4" t="s">
        <v>242</v>
      </c>
      <c r="B117" s="4" t="s">
        <v>68</v>
      </c>
      <c r="C117" s="4" t="s">
        <v>116</v>
      </c>
      <c r="D117" s="4" t="s">
        <v>31</v>
      </c>
      <c r="E117" s="4" t="s">
        <v>87</v>
      </c>
      <c r="F117" s="4" t="s">
        <v>20</v>
      </c>
      <c r="G117" s="4" t="s">
        <v>52</v>
      </c>
      <c r="H117" s="5" t="n">
        <v>43331</v>
      </c>
      <c r="I117" s="5" t="n">
        <v>32103</v>
      </c>
      <c r="J117" s="4" t="s">
        <v>22</v>
      </c>
      <c r="K117" s="6" t="n">
        <v>680000</v>
      </c>
      <c r="L117" s="6" t="n">
        <v>22670</v>
      </c>
      <c r="M117" s="6" t="n">
        <v>9070</v>
      </c>
    </row>
    <row r="118" customFormat="false" ht="15" hidden="false" customHeight="false" outlineLevel="0" collapsed="false">
      <c r="A118" s="4" t="s">
        <v>243</v>
      </c>
      <c r="B118" s="4" t="s">
        <v>145</v>
      </c>
      <c r="C118" s="4" t="s">
        <v>17</v>
      </c>
      <c r="D118" s="4" t="s">
        <v>31</v>
      </c>
      <c r="E118" s="4" t="s">
        <v>32</v>
      </c>
      <c r="F118" s="4" t="s">
        <v>20</v>
      </c>
      <c r="G118" s="4" t="s">
        <v>108</v>
      </c>
      <c r="H118" s="5" t="n">
        <v>43051</v>
      </c>
      <c r="I118" s="5" t="n">
        <v>32301</v>
      </c>
      <c r="J118" s="4" t="s">
        <v>22</v>
      </c>
      <c r="K118" s="6" t="n">
        <v>560000</v>
      </c>
      <c r="L118" s="6" t="n">
        <v>18670</v>
      </c>
      <c r="M118" s="6" t="n">
        <v>7470</v>
      </c>
    </row>
    <row r="119" customFormat="false" ht="15" hidden="false" customHeight="false" outlineLevel="0" collapsed="false">
      <c r="A119" s="4" t="s">
        <v>244</v>
      </c>
      <c r="B119" s="4" t="s">
        <v>68</v>
      </c>
      <c r="C119" s="4" t="s">
        <v>36</v>
      </c>
      <c r="D119" s="4" t="s">
        <v>18</v>
      </c>
      <c r="E119" s="4" t="s">
        <v>19</v>
      </c>
      <c r="F119" s="4" t="s">
        <v>33</v>
      </c>
      <c r="G119" s="4" t="s">
        <v>46</v>
      </c>
      <c r="H119" s="5" t="n">
        <v>44134</v>
      </c>
      <c r="I119" s="5" t="n">
        <v>29780</v>
      </c>
      <c r="J119" s="4" t="s">
        <v>22</v>
      </c>
      <c r="K119" s="6" t="n">
        <v>1800000</v>
      </c>
      <c r="L119" s="6" t="n">
        <v>60000</v>
      </c>
      <c r="M119" s="6" t="n">
        <v>24000</v>
      </c>
    </row>
    <row r="120" customFormat="false" ht="15" hidden="false" customHeight="false" outlineLevel="0" collapsed="false">
      <c r="A120" s="4" t="s">
        <v>245</v>
      </c>
      <c r="B120" s="4" t="s">
        <v>149</v>
      </c>
      <c r="C120" s="4" t="s">
        <v>186</v>
      </c>
      <c r="D120" s="4" t="s">
        <v>31</v>
      </c>
      <c r="E120" s="4" t="s">
        <v>55</v>
      </c>
      <c r="F120" s="4" t="s">
        <v>20</v>
      </c>
      <c r="G120" s="4" t="s">
        <v>60</v>
      </c>
      <c r="H120" s="5" t="n">
        <v>42693</v>
      </c>
      <c r="I120" s="5" t="n">
        <v>33662</v>
      </c>
      <c r="J120" s="4" t="s">
        <v>27</v>
      </c>
      <c r="K120" s="6" t="n">
        <v>1060000</v>
      </c>
      <c r="L120" s="6" t="n">
        <v>35330</v>
      </c>
      <c r="M120" s="6" t="n">
        <v>14130</v>
      </c>
    </row>
    <row r="121" customFormat="false" ht="15" hidden="false" customHeight="false" outlineLevel="0" collapsed="false">
      <c r="A121" s="4" t="s">
        <v>246</v>
      </c>
      <c r="B121" s="4" t="s">
        <v>205</v>
      </c>
      <c r="C121" s="4" t="s">
        <v>63</v>
      </c>
      <c r="D121" s="4" t="s">
        <v>50</v>
      </c>
      <c r="E121" s="4" t="s">
        <v>127</v>
      </c>
      <c r="F121" s="4" t="s">
        <v>20</v>
      </c>
      <c r="G121" s="4" t="s">
        <v>108</v>
      </c>
      <c r="H121" s="5" t="n">
        <v>44982</v>
      </c>
      <c r="I121" s="5" t="n">
        <v>31556</v>
      </c>
      <c r="J121" s="4" t="s">
        <v>22</v>
      </c>
      <c r="K121" s="6" t="n">
        <v>1100000</v>
      </c>
      <c r="L121" s="6" t="n">
        <v>36670</v>
      </c>
      <c r="M121" s="6" t="n">
        <v>14670</v>
      </c>
    </row>
    <row r="122" customFormat="false" ht="15" hidden="false" customHeight="false" outlineLevel="0" collapsed="false">
      <c r="A122" s="4" t="s">
        <v>247</v>
      </c>
      <c r="B122" s="4" t="s">
        <v>147</v>
      </c>
      <c r="C122" s="4" t="s">
        <v>143</v>
      </c>
      <c r="D122" s="4" t="s">
        <v>44</v>
      </c>
      <c r="E122" s="4" t="s">
        <v>111</v>
      </c>
      <c r="F122" s="4" t="s">
        <v>20</v>
      </c>
      <c r="G122" s="4" t="s">
        <v>52</v>
      </c>
      <c r="H122" s="5" t="n">
        <v>44179</v>
      </c>
      <c r="I122" s="5" t="n">
        <v>33056</v>
      </c>
      <c r="J122" s="4" t="s">
        <v>27</v>
      </c>
      <c r="K122" s="6" t="n">
        <v>1210000</v>
      </c>
      <c r="L122" s="6" t="n">
        <v>40330</v>
      </c>
      <c r="M122" s="6" t="n">
        <v>16130</v>
      </c>
    </row>
    <row r="123" customFormat="false" ht="15" hidden="false" customHeight="false" outlineLevel="0" collapsed="false">
      <c r="A123" s="4" t="s">
        <v>248</v>
      </c>
      <c r="B123" s="4" t="s">
        <v>16</v>
      </c>
      <c r="C123" s="4" t="s">
        <v>25</v>
      </c>
      <c r="D123" s="4" t="s">
        <v>31</v>
      </c>
      <c r="E123" s="4" t="s">
        <v>87</v>
      </c>
      <c r="F123" s="4" t="s">
        <v>33</v>
      </c>
      <c r="G123" s="4" t="s">
        <v>39</v>
      </c>
      <c r="H123" s="5" t="n">
        <v>43185</v>
      </c>
      <c r="I123" s="5" t="n">
        <v>33697</v>
      </c>
      <c r="J123" s="4" t="s">
        <v>40</v>
      </c>
      <c r="K123" s="6" t="n">
        <v>1680000</v>
      </c>
      <c r="L123" s="6" t="n">
        <v>56000</v>
      </c>
      <c r="M123" s="6" t="n">
        <v>22400</v>
      </c>
    </row>
    <row r="124" customFormat="false" ht="15" hidden="false" customHeight="false" outlineLevel="0" collapsed="false">
      <c r="A124" s="4" t="s">
        <v>249</v>
      </c>
      <c r="B124" s="4" t="s">
        <v>42</v>
      </c>
      <c r="C124" s="4" t="s">
        <v>154</v>
      </c>
      <c r="D124" s="4" t="s">
        <v>44</v>
      </c>
      <c r="E124" s="4" t="s">
        <v>111</v>
      </c>
      <c r="F124" s="4" t="s">
        <v>33</v>
      </c>
      <c r="G124" s="4" t="s">
        <v>39</v>
      </c>
      <c r="H124" s="5" t="n">
        <v>42459</v>
      </c>
      <c r="I124" s="5" t="n">
        <v>33879</v>
      </c>
      <c r="J124" s="4" t="s">
        <v>22</v>
      </c>
      <c r="K124" s="6" t="n">
        <v>470000</v>
      </c>
      <c r="L124" s="6" t="n">
        <v>15670</v>
      </c>
      <c r="M124" s="6" t="n">
        <v>6270</v>
      </c>
    </row>
  </sheetData>
  <autoFilter ref="A4:M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8" min="3" style="0" width="14"/>
  </cols>
  <sheetData>
    <row r="1" customFormat="false" ht="19.7" hidden="false" customHeight="false" outlineLevel="0" collapsed="false">
      <c r="A1" s="1" t="s">
        <v>250</v>
      </c>
    </row>
    <row r="2" customFormat="false" ht="15" hidden="false" customHeight="false" outlineLevel="0" collapsed="false">
      <c r="A2" s="2" t="s">
        <v>251</v>
      </c>
    </row>
    <row r="4" customFormat="false" ht="26.85" hidden="false" customHeight="false" outlineLevel="0" collapsed="false">
      <c r="A4" s="3" t="s">
        <v>2</v>
      </c>
      <c r="B4" s="3" t="s">
        <v>252</v>
      </c>
      <c r="C4" s="3" t="s">
        <v>5</v>
      </c>
      <c r="D4" s="3" t="s">
        <v>253</v>
      </c>
      <c r="E4" s="3" t="s">
        <v>254</v>
      </c>
      <c r="F4" s="3" t="s">
        <v>255</v>
      </c>
      <c r="G4" s="3" t="s">
        <v>256</v>
      </c>
      <c r="H4" s="3" t="s">
        <v>257</v>
      </c>
    </row>
    <row r="5" customFormat="false" ht="15" hidden="false" customHeight="false" outlineLevel="0" collapsed="false">
      <c r="A5" s="4" t="str">
        <f aca="false">'Employee Master'!A5</f>
        <v>EMP1000</v>
      </c>
      <c r="B5" s="4" t="str">
        <f aca="false">CONCATENATE('Employee Master'!B5," ",'Employee Master'!C5)</f>
        <v>Wei Reddy</v>
      </c>
      <c r="C5" s="4" t="str">
        <f aca="false">'Employee Master'!D5</f>
        <v>Engineering</v>
      </c>
      <c r="D5" s="4" t="n">
        <v>14</v>
      </c>
      <c r="E5" s="4" t="n">
        <v>3</v>
      </c>
      <c r="F5" s="4" t="n">
        <v>5</v>
      </c>
      <c r="G5" s="4" t="n">
        <v>22</v>
      </c>
      <c r="H5" s="7" t="n">
        <f aca="false">D5/G5</f>
        <v>0.636363636363636</v>
      </c>
    </row>
    <row r="6" customFormat="false" ht="15" hidden="false" customHeight="false" outlineLevel="0" collapsed="false">
      <c r="A6" s="4" t="str">
        <f aca="false">'Employee Master'!A6</f>
        <v>EMP1001</v>
      </c>
      <c r="B6" s="4" t="str">
        <f aca="false">CONCATENATE('Employee Master'!B6," ",'Employee Master'!C6)</f>
        <v>Harper Brown</v>
      </c>
      <c r="C6" s="4" t="str">
        <f aca="false">'Employee Master'!D6</f>
        <v>Engineering</v>
      </c>
      <c r="D6" s="4" t="n">
        <v>18</v>
      </c>
      <c r="E6" s="4" t="n">
        <v>1</v>
      </c>
      <c r="F6" s="4" t="n">
        <v>3</v>
      </c>
      <c r="G6" s="4" t="n">
        <v>22</v>
      </c>
      <c r="H6" s="7" t="n">
        <f aca="false">D6/G6</f>
        <v>0.818181818181818</v>
      </c>
    </row>
    <row r="7" customFormat="false" ht="15" hidden="false" customHeight="false" outlineLevel="0" collapsed="false">
      <c r="A7" s="4" t="str">
        <f aca="false">'Employee Master'!A7</f>
        <v>EMP1002</v>
      </c>
      <c r="B7" s="4" t="str">
        <f aca="false">CONCATENATE('Employee Master'!B7," ",'Employee Master'!C7)</f>
        <v>Charlotte Rao</v>
      </c>
      <c r="C7" s="4" t="str">
        <f aca="false">'Employee Master'!D7</f>
        <v>Operations</v>
      </c>
      <c r="D7" s="4" t="n">
        <v>19</v>
      </c>
      <c r="E7" s="4" t="n">
        <v>1</v>
      </c>
      <c r="F7" s="4" t="n">
        <v>2</v>
      </c>
      <c r="G7" s="4" t="n">
        <v>22</v>
      </c>
      <c r="H7" s="7" t="n">
        <f aca="false">D7/G7</f>
        <v>0.863636363636364</v>
      </c>
    </row>
    <row r="8" customFormat="false" ht="15" hidden="false" customHeight="false" outlineLevel="0" collapsed="false">
      <c r="A8" s="4" t="str">
        <f aca="false">'Employee Master'!A8</f>
        <v>EMP1003</v>
      </c>
      <c r="B8" s="4" t="str">
        <f aca="false">CONCATENATE('Employee Master'!B8," ",'Employee Master'!C8)</f>
        <v>Sofia Chatterjee</v>
      </c>
      <c r="C8" s="4" t="str">
        <f aca="false">'Employee Master'!D8</f>
        <v>Sales</v>
      </c>
      <c r="D8" s="4" t="n">
        <v>17</v>
      </c>
      <c r="E8" s="4" t="n">
        <v>2</v>
      </c>
      <c r="F8" s="4" t="n">
        <v>3</v>
      </c>
      <c r="G8" s="4" t="n">
        <v>22</v>
      </c>
      <c r="H8" s="7" t="n">
        <f aca="false">D8/G8</f>
        <v>0.772727272727273</v>
      </c>
    </row>
    <row r="9" customFormat="false" ht="15" hidden="false" customHeight="false" outlineLevel="0" collapsed="false">
      <c r="A9" s="4" t="str">
        <f aca="false">'Employee Master'!A9</f>
        <v>EMP1004</v>
      </c>
      <c r="B9" s="4" t="str">
        <f aca="false">CONCATENATE('Employee Master'!B9," ",'Employee Master'!C9)</f>
        <v>Reyansh Gupta</v>
      </c>
      <c r="C9" s="4" t="str">
        <f aca="false">'Employee Master'!D9</f>
        <v>HR</v>
      </c>
      <c r="D9" s="4" t="n">
        <v>16</v>
      </c>
      <c r="E9" s="4" t="n">
        <v>0</v>
      </c>
      <c r="F9" s="4" t="n">
        <v>6</v>
      </c>
      <c r="G9" s="4" t="n">
        <v>22</v>
      </c>
      <c r="H9" s="7" t="n">
        <f aca="false">D9/G9</f>
        <v>0.727272727272727</v>
      </c>
    </row>
    <row r="10" customFormat="false" ht="15" hidden="false" customHeight="false" outlineLevel="0" collapsed="false">
      <c r="A10" s="4" t="str">
        <f aca="false">'Employee Master'!A10</f>
        <v>EMP1005</v>
      </c>
      <c r="B10" s="4" t="str">
        <f aca="false">CONCATENATE('Employee Master'!B10," ",'Employee Master'!C10)</f>
        <v>Min Jones</v>
      </c>
      <c r="C10" s="4" t="str">
        <f aca="false">'Employee Master'!D10</f>
        <v>Finance</v>
      </c>
      <c r="D10" s="4" t="n">
        <v>14</v>
      </c>
      <c r="E10" s="4" t="n">
        <v>2</v>
      </c>
      <c r="F10" s="4" t="n">
        <v>6</v>
      </c>
      <c r="G10" s="4" t="n">
        <v>22</v>
      </c>
      <c r="H10" s="7" t="n">
        <f aca="false">D10/G10</f>
        <v>0.636363636363636</v>
      </c>
    </row>
    <row r="11" customFormat="false" ht="15" hidden="false" customHeight="false" outlineLevel="0" collapsed="false">
      <c r="A11" s="4" t="str">
        <f aca="false">'Employee Master'!A11</f>
        <v>EMP1006</v>
      </c>
      <c r="B11" s="4" t="str">
        <f aca="false">CONCATENATE('Employee Master'!B11," ",'Employee Master'!C11)</f>
        <v>Amelia Rao</v>
      </c>
      <c r="C11" s="4" t="str">
        <f aca="false">'Employee Master'!D11</f>
        <v>Operations</v>
      </c>
      <c r="D11" s="4" t="n">
        <v>21</v>
      </c>
      <c r="E11" s="4" t="n">
        <v>0</v>
      </c>
      <c r="F11" s="4" t="n">
        <v>1</v>
      </c>
      <c r="G11" s="4" t="n">
        <v>22</v>
      </c>
      <c r="H11" s="7" t="n">
        <f aca="false">D11/G11</f>
        <v>0.954545454545455</v>
      </c>
    </row>
    <row r="12" customFormat="false" ht="15" hidden="false" customHeight="false" outlineLevel="0" collapsed="false">
      <c r="A12" s="4" t="str">
        <f aca="false">'Employee Master'!A12</f>
        <v>EMP1007</v>
      </c>
      <c r="B12" s="4" t="str">
        <f aca="false">CONCATENATE('Employee Master'!B12," ",'Employee Master'!C12)</f>
        <v>Reyansh Williams</v>
      </c>
      <c r="C12" s="4" t="str">
        <f aca="false">'Employee Master'!D12</f>
        <v>Marketing</v>
      </c>
      <c r="D12" s="4" t="n">
        <v>19</v>
      </c>
      <c r="E12" s="4" t="n">
        <v>1</v>
      </c>
      <c r="F12" s="4" t="n">
        <v>2</v>
      </c>
      <c r="G12" s="4" t="n">
        <v>22</v>
      </c>
      <c r="H12" s="7" t="n">
        <f aca="false">D12/G12</f>
        <v>0.863636363636364</v>
      </c>
    </row>
    <row r="13" customFormat="false" ht="15" hidden="false" customHeight="false" outlineLevel="0" collapsed="false">
      <c r="A13" s="4" t="str">
        <f aca="false">'Employee Master'!A13</f>
        <v>EMP1008</v>
      </c>
      <c r="B13" s="4" t="str">
        <f aca="false">CONCATENATE('Employee Master'!B13," ",'Employee Master'!C13)</f>
        <v>Chen Mukherjee</v>
      </c>
      <c r="C13" s="4" t="str">
        <f aca="false">'Employee Master'!D13</f>
        <v>Operations</v>
      </c>
      <c r="D13" s="4" t="n">
        <v>15</v>
      </c>
      <c r="E13" s="4" t="n">
        <v>2</v>
      </c>
      <c r="F13" s="4" t="n">
        <v>5</v>
      </c>
      <c r="G13" s="4" t="n">
        <v>22</v>
      </c>
      <c r="H13" s="7" t="n">
        <f aca="false">D13/G13</f>
        <v>0.681818181818182</v>
      </c>
    </row>
    <row r="14" customFormat="false" ht="15" hidden="false" customHeight="false" outlineLevel="0" collapsed="false">
      <c r="A14" s="4" t="str">
        <f aca="false">'Employee Master'!A14</f>
        <v>EMP1009</v>
      </c>
      <c r="B14" s="4" t="str">
        <f aca="false">CONCATENATE('Employee Master'!B14," ",'Employee Master'!C14)</f>
        <v>David Kapoor</v>
      </c>
      <c r="C14" s="4" t="str">
        <f aca="false">'Employee Master'!D14</f>
        <v>Operations</v>
      </c>
      <c r="D14" s="4" t="n">
        <v>19</v>
      </c>
      <c r="E14" s="4" t="n">
        <v>3</v>
      </c>
      <c r="F14" s="4" t="n">
        <v>0</v>
      </c>
      <c r="G14" s="4" t="n">
        <v>22</v>
      </c>
      <c r="H14" s="7" t="n">
        <f aca="false">D14/G14</f>
        <v>0.863636363636364</v>
      </c>
    </row>
    <row r="15" customFormat="false" ht="15" hidden="false" customHeight="false" outlineLevel="0" collapsed="false">
      <c r="A15" s="4" t="str">
        <f aca="false">'Employee Master'!A15</f>
        <v>EMP1010</v>
      </c>
      <c r="B15" s="4" t="str">
        <f aca="false">CONCATENATE('Employee Master'!B15," ",'Employee Master'!C15)</f>
        <v>James Williams</v>
      </c>
      <c r="C15" s="4" t="str">
        <f aca="false">'Employee Master'!D15</f>
        <v>Marketing</v>
      </c>
      <c r="D15" s="4" t="n">
        <v>16</v>
      </c>
      <c r="E15" s="4" t="n">
        <v>1</v>
      </c>
      <c r="F15" s="4" t="n">
        <v>5</v>
      </c>
      <c r="G15" s="4" t="n">
        <v>22</v>
      </c>
      <c r="H15" s="7" t="n">
        <f aca="false">D15/G15</f>
        <v>0.727272727272727</v>
      </c>
    </row>
    <row r="16" customFormat="false" ht="15" hidden="false" customHeight="false" outlineLevel="0" collapsed="false">
      <c r="A16" s="4" t="str">
        <f aca="false">'Employee Master'!A16</f>
        <v>EMP1011</v>
      </c>
      <c r="B16" s="4" t="str">
        <f aca="false">CONCATENATE('Employee Master'!B16," ",'Employee Master'!C16)</f>
        <v>Rohan Kapoor</v>
      </c>
      <c r="C16" s="4" t="str">
        <f aca="false">'Employee Master'!D16</f>
        <v>Sales</v>
      </c>
      <c r="D16" s="4" t="n">
        <v>16</v>
      </c>
      <c r="E16" s="4" t="n">
        <v>2</v>
      </c>
      <c r="F16" s="4" t="n">
        <v>4</v>
      </c>
      <c r="G16" s="4" t="n">
        <v>22</v>
      </c>
      <c r="H16" s="7" t="n">
        <f aca="false">D16/G16</f>
        <v>0.727272727272727</v>
      </c>
    </row>
    <row r="17" customFormat="false" ht="15" hidden="false" customHeight="false" outlineLevel="0" collapsed="false">
      <c r="A17" s="4" t="str">
        <f aca="false">'Employee Master'!A17</f>
        <v>EMP1012</v>
      </c>
      <c r="B17" s="4" t="str">
        <f aca="false">CONCATENATE('Employee Master'!B17," ",'Employee Master'!C17)</f>
        <v>Ishaan Davis</v>
      </c>
      <c r="C17" s="4" t="str">
        <f aca="false">'Employee Master'!D17</f>
        <v>HR</v>
      </c>
      <c r="D17" s="4" t="n">
        <v>22</v>
      </c>
      <c r="E17" s="4" t="n">
        <v>0</v>
      </c>
      <c r="F17" s="4" t="n">
        <v>0</v>
      </c>
      <c r="G17" s="4" t="n">
        <v>22</v>
      </c>
      <c r="H17" s="7" t="n">
        <f aca="false">D17/G17</f>
        <v>1</v>
      </c>
    </row>
    <row r="18" customFormat="false" ht="15" hidden="false" customHeight="false" outlineLevel="0" collapsed="false">
      <c r="A18" s="4" t="str">
        <f aca="false">'Employee Master'!A18</f>
        <v>EMP1013</v>
      </c>
      <c r="B18" s="4" t="str">
        <f aca="false">CONCATENATE('Employee Master'!B18," ",'Employee Master'!C18)</f>
        <v>Evelyn Gupta</v>
      </c>
      <c r="C18" s="4" t="str">
        <f aca="false">'Employee Master'!D18</f>
        <v>HR</v>
      </c>
      <c r="D18" s="4" t="n">
        <v>16</v>
      </c>
      <c r="E18" s="4" t="n">
        <v>2</v>
      </c>
      <c r="F18" s="4" t="n">
        <v>4</v>
      </c>
      <c r="G18" s="4" t="n">
        <v>22</v>
      </c>
      <c r="H18" s="7" t="n">
        <f aca="false">D18/G18</f>
        <v>0.727272727272727</v>
      </c>
    </row>
    <row r="19" customFormat="false" ht="15" hidden="false" customHeight="false" outlineLevel="0" collapsed="false">
      <c r="A19" s="4" t="str">
        <f aca="false">'Employee Master'!A19</f>
        <v>EMP1014</v>
      </c>
      <c r="B19" s="4" t="str">
        <f aca="false">CONCATENATE('Employee Master'!B19," ",'Employee Master'!C19)</f>
        <v>Yuki Sen</v>
      </c>
      <c r="C19" s="4" t="str">
        <f aca="false">'Employee Master'!D19</f>
        <v>Finance</v>
      </c>
      <c r="D19" s="4" t="n">
        <v>21</v>
      </c>
      <c r="E19" s="4" t="n">
        <v>1</v>
      </c>
      <c r="F19" s="4" t="n">
        <v>0</v>
      </c>
      <c r="G19" s="4" t="n">
        <v>22</v>
      </c>
      <c r="H19" s="7" t="n">
        <f aca="false">D19/G19</f>
        <v>0.954545454545455</v>
      </c>
    </row>
    <row r="20" customFormat="false" ht="15" hidden="false" customHeight="false" outlineLevel="0" collapsed="false">
      <c r="A20" s="4" t="str">
        <f aca="false">'Employee Master'!A20</f>
        <v>EMP1015</v>
      </c>
      <c r="B20" s="4" t="str">
        <f aca="false">CONCATENATE('Employee Master'!B20," ",'Employee Master'!C20)</f>
        <v>Aarav Malhotra</v>
      </c>
      <c r="C20" s="4" t="str">
        <f aca="false">'Employee Master'!D20</f>
        <v>Operations</v>
      </c>
      <c r="D20" s="4" t="n">
        <v>19</v>
      </c>
      <c r="E20" s="4" t="n">
        <v>0</v>
      </c>
      <c r="F20" s="4" t="n">
        <v>3</v>
      </c>
      <c r="G20" s="4" t="n">
        <v>22</v>
      </c>
      <c r="H20" s="7" t="n">
        <f aca="false">D20/G20</f>
        <v>0.863636363636364</v>
      </c>
    </row>
    <row r="21" customFormat="false" ht="15" hidden="false" customHeight="false" outlineLevel="0" collapsed="false">
      <c r="A21" s="4" t="str">
        <f aca="false">'Employee Master'!A21</f>
        <v>EMP1016</v>
      </c>
      <c r="B21" s="4" t="str">
        <f aca="false">CONCATENATE('Employee Master'!B21," ",'Employee Master'!C21)</f>
        <v>Evelyn Rao</v>
      </c>
      <c r="C21" s="4" t="str">
        <f aca="false">'Employee Master'!D21</f>
        <v>Sales</v>
      </c>
      <c r="D21" s="4" t="n">
        <v>21</v>
      </c>
      <c r="E21" s="4" t="n">
        <v>0</v>
      </c>
      <c r="F21" s="4" t="n">
        <v>1</v>
      </c>
      <c r="G21" s="4" t="n">
        <v>22</v>
      </c>
      <c r="H21" s="7" t="n">
        <f aca="false">D21/G21</f>
        <v>0.954545454545455</v>
      </c>
    </row>
    <row r="22" customFormat="false" ht="15" hidden="false" customHeight="false" outlineLevel="0" collapsed="false">
      <c r="A22" s="4" t="str">
        <f aca="false">'Employee Master'!A22</f>
        <v>EMP1017</v>
      </c>
      <c r="B22" s="4" t="str">
        <f aca="false">CONCATENATE('Employee Master'!B22," ",'Employee Master'!C22)</f>
        <v>Krishna Mukherjee</v>
      </c>
      <c r="C22" s="4" t="str">
        <f aca="false">'Employee Master'!D22</f>
        <v>Marketing</v>
      </c>
      <c r="D22" s="4" t="n">
        <v>16</v>
      </c>
      <c r="E22" s="4" t="n">
        <v>1</v>
      </c>
      <c r="F22" s="4" t="n">
        <v>5</v>
      </c>
      <c r="G22" s="4" t="n">
        <v>22</v>
      </c>
      <c r="H22" s="7" t="n">
        <f aca="false">D22/G22</f>
        <v>0.727272727272727</v>
      </c>
    </row>
    <row r="23" customFormat="false" ht="15" hidden="false" customHeight="false" outlineLevel="0" collapsed="false">
      <c r="A23" s="4" t="str">
        <f aca="false">'Employee Master'!A23</f>
        <v>EMP1018</v>
      </c>
      <c r="B23" s="4" t="str">
        <f aca="false">CONCATENATE('Employee Master'!B23," ",'Employee Master'!C23)</f>
        <v>Min Miller</v>
      </c>
      <c r="C23" s="4" t="str">
        <f aca="false">'Employee Master'!D23</f>
        <v>Engineering</v>
      </c>
      <c r="D23" s="4" t="n">
        <v>20</v>
      </c>
      <c r="E23" s="4" t="n">
        <v>2</v>
      </c>
      <c r="F23" s="4" t="n">
        <v>0</v>
      </c>
      <c r="G23" s="4" t="n">
        <v>22</v>
      </c>
      <c r="H23" s="7" t="n">
        <f aca="false">D23/G23</f>
        <v>0.909090909090909</v>
      </c>
    </row>
    <row r="24" customFormat="false" ht="15" hidden="false" customHeight="false" outlineLevel="0" collapsed="false">
      <c r="A24" s="4" t="str">
        <f aca="false">'Employee Master'!A24</f>
        <v>EMP1019</v>
      </c>
      <c r="B24" s="4" t="str">
        <f aca="false">CONCATENATE('Employee Master'!B24," ",'Employee Master'!C24)</f>
        <v>Anika Davis</v>
      </c>
      <c r="C24" s="4" t="str">
        <f aca="false">'Employee Master'!D24</f>
        <v>Finance</v>
      </c>
      <c r="D24" s="4" t="n">
        <v>19</v>
      </c>
      <c r="E24" s="4" t="n">
        <v>0</v>
      </c>
      <c r="F24" s="4" t="n">
        <v>3</v>
      </c>
      <c r="G24" s="4" t="n">
        <v>22</v>
      </c>
      <c r="H24" s="7" t="n">
        <f aca="false">D24/G24</f>
        <v>0.863636363636364</v>
      </c>
    </row>
    <row r="25" customFormat="false" ht="15" hidden="false" customHeight="false" outlineLevel="0" collapsed="false">
      <c r="A25" s="4" t="str">
        <f aca="false">'Employee Master'!A25</f>
        <v>EMP1020</v>
      </c>
      <c r="B25" s="4" t="str">
        <f aca="false">CONCATENATE('Employee Master'!B25," ",'Employee Master'!C25)</f>
        <v>Joseph Sen</v>
      </c>
      <c r="C25" s="4" t="str">
        <f aca="false">'Employee Master'!D25</f>
        <v>Finance</v>
      </c>
      <c r="D25" s="4" t="n">
        <v>20</v>
      </c>
      <c r="E25" s="4" t="n">
        <v>0</v>
      </c>
      <c r="F25" s="4" t="n">
        <v>2</v>
      </c>
      <c r="G25" s="4" t="n">
        <v>22</v>
      </c>
      <c r="H25" s="7" t="n">
        <f aca="false">D25/G25</f>
        <v>0.909090909090909</v>
      </c>
    </row>
    <row r="26" customFormat="false" ht="15" hidden="false" customHeight="false" outlineLevel="0" collapsed="false">
      <c r="A26" s="4" t="str">
        <f aca="false">'Employee Master'!A26</f>
        <v>EMP1021</v>
      </c>
      <c r="B26" s="4" t="str">
        <f aca="false">CONCATENATE('Employee Master'!B26," ",'Employee Master'!C26)</f>
        <v>Harper Garcia</v>
      </c>
      <c r="C26" s="4" t="str">
        <f aca="false">'Employee Master'!D26</f>
        <v>Sales</v>
      </c>
      <c r="D26" s="4" t="n">
        <v>18</v>
      </c>
      <c r="E26" s="4" t="n">
        <v>0</v>
      </c>
      <c r="F26" s="4" t="n">
        <v>4</v>
      </c>
      <c r="G26" s="4" t="n">
        <v>22</v>
      </c>
      <c r="H26" s="7" t="n">
        <f aca="false">D26/G26</f>
        <v>0.818181818181818</v>
      </c>
    </row>
    <row r="27" customFormat="false" ht="15" hidden="false" customHeight="false" outlineLevel="0" collapsed="false">
      <c r="A27" s="4" t="str">
        <f aca="false">'Employee Master'!A27</f>
        <v>EMP1022</v>
      </c>
      <c r="B27" s="4" t="str">
        <f aca="false">CONCATENATE('Employee Master'!B27," ",'Employee Master'!C27)</f>
        <v>Aditya Roy</v>
      </c>
      <c r="C27" s="4" t="str">
        <f aca="false">'Employee Master'!D27</f>
        <v>Marketing</v>
      </c>
      <c r="D27" s="4" t="n">
        <v>21</v>
      </c>
      <c r="E27" s="4" t="n">
        <v>1</v>
      </c>
      <c r="F27" s="4" t="n">
        <v>0</v>
      </c>
      <c r="G27" s="4" t="n">
        <v>22</v>
      </c>
      <c r="H27" s="7" t="n">
        <f aca="false">D27/G27</f>
        <v>0.954545454545455</v>
      </c>
    </row>
    <row r="28" customFormat="false" ht="15" hidden="false" customHeight="false" outlineLevel="0" collapsed="false">
      <c r="A28" s="4" t="str">
        <f aca="false">'Employee Master'!A28</f>
        <v>EMP1023</v>
      </c>
      <c r="B28" s="4" t="str">
        <f aca="false">CONCATENATE('Employee Master'!B28," ",'Employee Master'!C28)</f>
        <v>Min Mukherjee</v>
      </c>
      <c r="C28" s="4" t="str">
        <f aca="false">'Employee Master'!D28</f>
        <v>Finance</v>
      </c>
      <c r="D28" s="4" t="n">
        <v>18</v>
      </c>
      <c r="E28" s="4" t="n">
        <v>3</v>
      </c>
      <c r="F28" s="4" t="n">
        <v>1</v>
      </c>
      <c r="G28" s="4" t="n">
        <v>22</v>
      </c>
      <c r="H28" s="7" t="n">
        <f aca="false">D28/G28</f>
        <v>0.818181818181818</v>
      </c>
    </row>
    <row r="29" customFormat="false" ht="15" hidden="false" customHeight="false" outlineLevel="0" collapsed="false">
      <c r="A29" s="4" t="str">
        <f aca="false">'Employee Master'!A29</f>
        <v>EMP1024</v>
      </c>
      <c r="B29" s="4" t="str">
        <f aca="false">CONCATENATE('Employee Master'!B29," ",'Employee Master'!C29)</f>
        <v>Reyansh Shah</v>
      </c>
      <c r="C29" s="4" t="str">
        <f aca="false">'Employee Master'!D29</f>
        <v>HR</v>
      </c>
      <c r="D29" s="4" t="n">
        <v>19</v>
      </c>
      <c r="E29" s="4" t="n">
        <v>0</v>
      </c>
      <c r="F29" s="4" t="n">
        <v>3</v>
      </c>
      <c r="G29" s="4" t="n">
        <v>22</v>
      </c>
      <c r="H29" s="7" t="n">
        <f aca="false">D29/G29</f>
        <v>0.863636363636364</v>
      </c>
    </row>
    <row r="30" customFormat="false" ht="15" hidden="false" customHeight="false" outlineLevel="0" collapsed="false">
      <c r="A30" s="4" t="str">
        <f aca="false">'Employee Master'!A30</f>
        <v>EMP1025</v>
      </c>
      <c r="B30" s="4" t="str">
        <f aca="false">CONCATENATE('Employee Master'!B30," ",'Employee Master'!C30)</f>
        <v>Vihaan Williams</v>
      </c>
      <c r="C30" s="4" t="str">
        <f aca="false">'Employee Master'!D30</f>
        <v>Operations</v>
      </c>
      <c r="D30" s="4" t="n">
        <v>17</v>
      </c>
      <c r="E30" s="4" t="n">
        <v>3</v>
      </c>
      <c r="F30" s="4" t="n">
        <v>2</v>
      </c>
      <c r="G30" s="4" t="n">
        <v>22</v>
      </c>
      <c r="H30" s="7" t="n">
        <f aca="false">D30/G30</f>
        <v>0.772727272727273</v>
      </c>
    </row>
    <row r="31" customFormat="false" ht="15" hidden="false" customHeight="false" outlineLevel="0" collapsed="false">
      <c r="A31" s="4" t="str">
        <f aca="false">'Employee Master'!A31</f>
        <v>EMP1026</v>
      </c>
      <c r="B31" s="4" t="str">
        <f aca="false">CONCATENATE('Employee Master'!B31," ",'Employee Master'!C31)</f>
        <v>Ishaan Brown</v>
      </c>
      <c r="C31" s="4" t="str">
        <f aca="false">'Employee Master'!D31</f>
        <v>Sales</v>
      </c>
      <c r="D31" s="4" t="n">
        <v>14</v>
      </c>
      <c r="E31" s="4" t="n">
        <v>2</v>
      </c>
      <c r="F31" s="4" t="n">
        <v>6</v>
      </c>
      <c r="G31" s="4" t="n">
        <v>22</v>
      </c>
      <c r="H31" s="7" t="n">
        <f aca="false">D31/G31</f>
        <v>0.636363636363636</v>
      </c>
    </row>
    <row r="32" customFormat="false" ht="15" hidden="false" customHeight="false" outlineLevel="0" collapsed="false">
      <c r="A32" s="4" t="str">
        <f aca="false">'Employee Master'!A32</f>
        <v>EMP1027</v>
      </c>
      <c r="B32" s="4" t="str">
        <f aca="false">CONCATENATE('Employee Master'!B32," ",'Employee Master'!C32)</f>
        <v>Vihaan Patel</v>
      </c>
      <c r="C32" s="4" t="str">
        <f aca="false">'Employee Master'!D32</f>
        <v>Finance</v>
      </c>
      <c r="D32" s="4" t="n">
        <v>17</v>
      </c>
      <c r="E32" s="4" t="n">
        <v>0</v>
      </c>
      <c r="F32" s="4" t="n">
        <v>5</v>
      </c>
      <c r="G32" s="4" t="n">
        <v>22</v>
      </c>
      <c r="H32" s="7" t="n">
        <f aca="false">D32/G32</f>
        <v>0.772727272727273</v>
      </c>
    </row>
    <row r="33" customFormat="false" ht="15" hidden="false" customHeight="false" outlineLevel="0" collapsed="false">
      <c r="A33" s="4" t="str">
        <f aca="false">'Employee Master'!A33</f>
        <v>EMP1028</v>
      </c>
      <c r="B33" s="4" t="str">
        <f aca="false">CONCATENATE('Employee Master'!B33," ",'Employee Master'!C33)</f>
        <v>Aadhya Roy</v>
      </c>
      <c r="C33" s="4" t="str">
        <f aca="false">'Employee Master'!D33</f>
        <v>HR</v>
      </c>
      <c r="D33" s="4" t="n">
        <v>21</v>
      </c>
      <c r="E33" s="4" t="n">
        <v>1</v>
      </c>
      <c r="F33" s="4" t="n">
        <v>0</v>
      </c>
      <c r="G33" s="4" t="n">
        <v>22</v>
      </c>
      <c r="H33" s="7" t="n">
        <f aca="false">D33/G33</f>
        <v>0.954545454545455</v>
      </c>
    </row>
    <row r="34" customFormat="false" ht="15" hidden="false" customHeight="false" outlineLevel="0" collapsed="false">
      <c r="A34" s="4" t="str">
        <f aca="false">'Employee Master'!A34</f>
        <v>EMP1029</v>
      </c>
      <c r="B34" s="4" t="str">
        <f aca="false">CONCATENATE('Employee Master'!B34," ",'Employee Master'!C34)</f>
        <v>Riya Brown</v>
      </c>
      <c r="C34" s="4" t="str">
        <f aca="false">'Employee Master'!D34</f>
        <v>Operations</v>
      </c>
      <c r="D34" s="4" t="n">
        <v>20</v>
      </c>
      <c r="E34" s="4" t="n">
        <v>0</v>
      </c>
      <c r="F34" s="4" t="n">
        <v>2</v>
      </c>
      <c r="G34" s="4" t="n">
        <v>22</v>
      </c>
      <c r="H34" s="7" t="n">
        <f aca="false">D34/G34</f>
        <v>0.909090909090909</v>
      </c>
    </row>
    <row r="35" customFormat="false" ht="15" hidden="false" customHeight="false" outlineLevel="0" collapsed="false">
      <c r="A35" s="4" t="str">
        <f aca="false">'Employee Master'!A35</f>
        <v>EMP1030</v>
      </c>
      <c r="B35" s="4" t="str">
        <f aca="false">CONCATENATE('Employee Master'!B35," ",'Employee Master'!C35)</f>
        <v>Harper Malhotra</v>
      </c>
      <c r="C35" s="4" t="str">
        <f aca="false">'Employee Master'!D35</f>
        <v>Finance</v>
      </c>
      <c r="D35" s="4" t="n">
        <v>16</v>
      </c>
      <c r="E35" s="4" t="n">
        <v>0</v>
      </c>
      <c r="F35" s="4" t="n">
        <v>6</v>
      </c>
      <c r="G35" s="4" t="n">
        <v>22</v>
      </c>
      <c r="H35" s="7" t="n">
        <f aca="false">D35/G35</f>
        <v>0.727272727272727</v>
      </c>
    </row>
    <row r="36" customFormat="false" ht="15" hidden="false" customHeight="false" outlineLevel="0" collapsed="false">
      <c r="A36" s="4" t="str">
        <f aca="false">'Employee Master'!A36</f>
        <v>EMP1031</v>
      </c>
      <c r="B36" s="4" t="str">
        <f aca="false">CONCATENATE('Employee Master'!B36," ",'Employee Master'!C36)</f>
        <v>Isabella Nair</v>
      </c>
      <c r="C36" s="4" t="str">
        <f aca="false">'Employee Master'!D36</f>
        <v>Engineering</v>
      </c>
      <c r="D36" s="4" t="n">
        <v>14</v>
      </c>
      <c r="E36" s="4" t="n">
        <v>2</v>
      </c>
      <c r="F36" s="4" t="n">
        <v>6</v>
      </c>
      <c r="G36" s="4" t="n">
        <v>22</v>
      </c>
      <c r="H36" s="7" t="n">
        <f aca="false">D36/G36</f>
        <v>0.636363636363636</v>
      </c>
    </row>
    <row r="37" customFormat="false" ht="15" hidden="false" customHeight="false" outlineLevel="0" collapsed="false">
      <c r="A37" s="4" t="str">
        <f aca="false">'Employee Master'!A37</f>
        <v>EMP1032</v>
      </c>
      <c r="B37" s="4" t="str">
        <f aca="false">CONCATENATE('Employee Master'!B37," ",'Employee Master'!C37)</f>
        <v>Daniel Reddy</v>
      </c>
      <c r="C37" s="4" t="str">
        <f aca="false">'Employee Master'!D37</f>
        <v>Finance</v>
      </c>
      <c r="D37" s="4" t="n">
        <v>21</v>
      </c>
      <c r="E37" s="4" t="n">
        <v>0</v>
      </c>
      <c r="F37" s="4" t="n">
        <v>1</v>
      </c>
      <c r="G37" s="4" t="n">
        <v>22</v>
      </c>
      <c r="H37" s="7" t="n">
        <f aca="false">D37/G37</f>
        <v>0.954545454545455</v>
      </c>
    </row>
    <row r="38" customFormat="false" ht="15" hidden="false" customHeight="false" outlineLevel="0" collapsed="false">
      <c r="A38" s="4" t="str">
        <f aca="false">'Employee Master'!A38</f>
        <v>EMP1033</v>
      </c>
      <c r="B38" s="4" t="str">
        <f aca="false">CONCATENATE('Employee Master'!B38," ",'Employee Master'!C38)</f>
        <v>James Mukherjee</v>
      </c>
      <c r="C38" s="4" t="str">
        <f aca="false">'Employee Master'!D38</f>
        <v>Marketing</v>
      </c>
      <c r="D38" s="4" t="n">
        <v>15</v>
      </c>
      <c r="E38" s="4" t="n">
        <v>1</v>
      </c>
      <c r="F38" s="4" t="n">
        <v>6</v>
      </c>
      <c r="G38" s="4" t="n">
        <v>22</v>
      </c>
      <c r="H38" s="7" t="n">
        <f aca="false">D38/G38</f>
        <v>0.681818181818182</v>
      </c>
    </row>
    <row r="39" customFormat="false" ht="15" hidden="false" customHeight="false" outlineLevel="0" collapsed="false">
      <c r="A39" s="4" t="str">
        <f aca="false">'Employee Master'!A39</f>
        <v>EMP1034</v>
      </c>
      <c r="B39" s="4" t="str">
        <f aca="false">CONCATENATE('Employee Master'!B39," ",'Employee Master'!C39)</f>
        <v>Ryan Smith</v>
      </c>
      <c r="C39" s="4" t="str">
        <f aca="false">'Employee Master'!D39</f>
        <v>Engineering</v>
      </c>
      <c r="D39" s="4" t="n">
        <v>22</v>
      </c>
      <c r="E39" s="4" t="n">
        <v>0</v>
      </c>
      <c r="F39" s="4" t="n">
        <v>0</v>
      </c>
      <c r="G39" s="4" t="n">
        <v>22</v>
      </c>
      <c r="H39" s="7" t="n">
        <f aca="false">D39/G39</f>
        <v>1</v>
      </c>
    </row>
    <row r="40" customFormat="false" ht="15" hidden="false" customHeight="false" outlineLevel="0" collapsed="false">
      <c r="A40" s="4" t="str">
        <f aca="false">'Employee Master'!A40</f>
        <v>EMP1035</v>
      </c>
      <c r="B40" s="4" t="str">
        <f aca="false">CONCATENATE('Employee Master'!B40," ",'Employee Master'!C40)</f>
        <v>Anika Iyer</v>
      </c>
      <c r="C40" s="4" t="str">
        <f aca="false">'Employee Master'!D40</f>
        <v>Marketing</v>
      </c>
      <c r="D40" s="4" t="n">
        <v>20</v>
      </c>
      <c r="E40" s="4" t="n">
        <v>1</v>
      </c>
      <c r="F40" s="4" t="n">
        <v>1</v>
      </c>
      <c r="G40" s="4" t="n">
        <v>22</v>
      </c>
      <c r="H40" s="7" t="n">
        <f aca="false">D40/G40</f>
        <v>0.909090909090909</v>
      </c>
    </row>
    <row r="41" customFormat="false" ht="15" hidden="false" customHeight="false" outlineLevel="0" collapsed="false">
      <c r="A41" s="4" t="str">
        <f aca="false">'Employee Master'!A41</f>
        <v>EMP1036</v>
      </c>
      <c r="B41" s="4" t="str">
        <f aca="false">CONCATENATE('Employee Master'!B41," ",'Employee Master'!C41)</f>
        <v>Abigail Chatterjee</v>
      </c>
      <c r="C41" s="4" t="str">
        <f aca="false">'Employee Master'!D41</f>
        <v>Operations</v>
      </c>
      <c r="D41" s="4" t="n">
        <v>19</v>
      </c>
      <c r="E41" s="4" t="n">
        <v>3</v>
      </c>
      <c r="F41" s="4" t="n">
        <v>0</v>
      </c>
      <c r="G41" s="4" t="n">
        <v>22</v>
      </c>
      <c r="H41" s="7" t="n">
        <f aca="false">D41/G41</f>
        <v>0.863636363636364</v>
      </c>
    </row>
    <row r="42" customFormat="false" ht="15" hidden="false" customHeight="false" outlineLevel="0" collapsed="false">
      <c r="A42" s="4" t="str">
        <f aca="false">'Employee Master'!A42</f>
        <v>EMP1037</v>
      </c>
      <c r="B42" s="4" t="str">
        <f aca="false">CONCATENATE('Employee Master'!B42," ",'Employee Master'!C42)</f>
        <v>Krishna Sen</v>
      </c>
      <c r="C42" s="4" t="str">
        <f aca="false">'Employee Master'!D42</f>
        <v>Engineering</v>
      </c>
      <c r="D42" s="4" t="n">
        <v>16</v>
      </c>
      <c r="E42" s="4" t="n">
        <v>3</v>
      </c>
      <c r="F42" s="4" t="n">
        <v>3</v>
      </c>
      <c r="G42" s="4" t="n">
        <v>22</v>
      </c>
      <c r="H42" s="7" t="n">
        <f aca="false">D42/G42</f>
        <v>0.727272727272727</v>
      </c>
    </row>
    <row r="43" customFormat="false" ht="15" hidden="false" customHeight="false" outlineLevel="0" collapsed="false">
      <c r="A43" s="4" t="str">
        <f aca="false">'Employee Master'!A43</f>
        <v>EMP1038</v>
      </c>
      <c r="B43" s="4" t="str">
        <f aca="false">CONCATENATE('Employee Master'!B43," ",'Employee Master'!C43)</f>
        <v>Aadhya Shah</v>
      </c>
      <c r="C43" s="4" t="str">
        <f aca="false">'Employee Master'!D43</f>
        <v>Operations</v>
      </c>
      <c r="D43" s="4" t="n">
        <v>15</v>
      </c>
      <c r="E43" s="4" t="n">
        <v>3</v>
      </c>
      <c r="F43" s="4" t="n">
        <v>4</v>
      </c>
      <c r="G43" s="4" t="n">
        <v>22</v>
      </c>
      <c r="H43" s="7" t="n">
        <f aca="false">D43/G43</f>
        <v>0.681818181818182</v>
      </c>
    </row>
    <row r="44" customFormat="false" ht="15" hidden="false" customHeight="false" outlineLevel="0" collapsed="false">
      <c r="A44" s="4" t="str">
        <f aca="false">'Employee Master'!A44</f>
        <v>EMP1039</v>
      </c>
      <c r="B44" s="4" t="str">
        <f aca="false">CONCATENATE('Employee Master'!B44," ",'Employee Master'!C44)</f>
        <v>Navya Verma</v>
      </c>
      <c r="C44" s="4" t="str">
        <f aca="false">'Employee Master'!D44</f>
        <v>Engineering</v>
      </c>
      <c r="D44" s="4" t="n">
        <v>20</v>
      </c>
      <c r="E44" s="4" t="n">
        <v>1</v>
      </c>
      <c r="F44" s="4" t="n">
        <v>1</v>
      </c>
      <c r="G44" s="4" t="n">
        <v>22</v>
      </c>
      <c r="H44" s="7" t="n">
        <f aca="false">D44/G44</f>
        <v>0.909090909090909</v>
      </c>
    </row>
    <row r="45" customFormat="false" ht="15" hidden="false" customHeight="false" outlineLevel="0" collapsed="false">
      <c r="A45" s="4" t="str">
        <f aca="false">'Employee Master'!A45</f>
        <v>EMP1040</v>
      </c>
      <c r="B45" s="4" t="str">
        <f aca="false">CONCATENATE('Employee Master'!B45," ",'Employee Master'!C45)</f>
        <v>Charlotte Sharma</v>
      </c>
      <c r="C45" s="4" t="str">
        <f aca="false">'Employee Master'!D45</f>
        <v>Engineering</v>
      </c>
      <c r="D45" s="4" t="n">
        <v>14</v>
      </c>
      <c r="E45" s="4" t="n">
        <v>2</v>
      </c>
      <c r="F45" s="4" t="n">
        <v>6</v>
      </c>
      <c r="G45" s="4" t="n">
        <v>22</v>
      </c>
      <c r="H45" s="7" t="n">
        <f aca="false">D45/G45</f>
        <v>0.636363636363636</v>
      </c>
    </row>
    <row r="46" customFormat="false" ht="15" hidden="false" customHeight="false" outlineLevel="0" collapsed="false">
      <c r="A46" s="4" t="str">
        <f aca="false">'Employee Master'!A46</f>
        <v>EMP1041</v>
      </c>
      <c r="B46" s="4" t="str">
        <f aca="false">CONCATENATE('Employee Master'!B46," ",'Employee Master'!C46)</f>
        <v>Andrew Iyer</v>
      </c>
      <c r="C46" s="4" t="str">
        <f aca="false">'Employee Master'!D46</f>
        <v>Engineering</v>
      </c>
      <c r="D46" s="4" t="n">
        <v>17</v>
      </c>
      <c r="E46" s="4" t="n">
        <v>3</v>
      </c>
      <c r="F46" s="4" t="n">
        <v>2</v>
      </c>
      <c r="G46" s="4" t="n">
        <v>22</v>
      </c>
      <c r="H46" s="7" t="n">
        <f aca="false">D46/G46</f>
        <v>0.772727272727273</v>
      </c>
    </row>
    <row r="47" customFormat="false" ht="15" hidden="false" customHeight="false" outlineLevel="0" collapsed="false">
      <c r="A47" s="4" t="str">
        <f aca="false">'Employee Master'!A47</f>
        <v>EMP1042</v>
      </c>
      <c r="B47" s="4" t="str">
        <f aca="false">CONCATENATE('Employee Master'!B47," ",'Employee Master'!C47)</f>
        <v>Hiro Reddy</v>
      </c>
      <c r="C47" s="4" t="str">
        <f aca="false">'Employee Master'!D47</f>
        <v>Marketing</v>
      </c>
      <c r="D47" s="4" t="n">
        <v>21</v>
      </c>
      <c r="E47" s="4" t="n">
        <v>0</v>
      </c>
      <c r="F47" s="4" t="n">
        <v>1</v>
      </c>
      <c r="G47" s="4" t="n">
        <v>22</v>
      </c>
      <c r="H47" s="7" t="n">
        <f aca="false">D47/G47</f>
        <v>0.954545454545455</v>
      </c>
    </row>
    <row r="48" customFormat="false" ht="15" hidden="false" customHeight="false" outlineLevel="0" collapsed="false">
      <c r="A48" s="4" t="str">
        <f aca="false">'Employee Master'!A48</f>
        <v>EMP1043</v>
      </c>
      <c r="B48" s="4" t="str">
        <f aca="false">CONCATENATE('Employee Master'!B48," ",'Employee Master'!C48)</f>
        <v>Matthew Sharma</v>
      </c>
      <c r="C48" s="4" t="str">
        <f aca="false">'Employee Master'!D48</f>
        <v>Sales</v>
      </c>
      <c r="D48" s="4" t="n">
        <v>19</v>
      </c>
      <c r="E48" s="4" t="n">
        <v>0</v>
      </c>
      <c r="F48" s="4" t="n">
        <v>3</v>
      </c>
      <c r="G48" s="4" t="n">
        <v>22</v>
      </c>
      <c r="H48" s="7" t="n">
        <f aca="false">D48/G48</f>
        <v>0.863636363636364</v>
      </c>
    </row>
    <row r="49" customFormat="false" ht="15" hidden="false" customHeight="false" outlineLevel="0" collapsed="false">
      <c r="A49" s="4" t="str">
        <f aca="false">'Employee Master'!A49</f>
        <v>EMP1044</v>
      </c>
      <c r="B49" s="4" t="str">
        <f aca="false">CONCATENATE('Employee Master'!B49," ",'Employee Master'!C49)</f>
        <v>David Roy</v>
      </c>
      <c r="C49" s="4" t="str">
        <f aca="false">'Employee Master'!D49</f>
        <v>Engineering</v>
      </c>
      <c r="D49" s="4" t="n">
        <v>19</v>
      </c>
      <c r="E49" s="4" t="n">
        <v>2</v>
      </c>
      <c r="F49" s="4" t="n">
        <v>1</v>
      </c>
      <c r="G49" s="4" t="n">
        <v>22</v>
      </c>
      <c r="H49" s="7" t="n">
        <f aca="false">D49/G49</f>
        <v>0.863636363636364</v>
      </c>
    </row>
    <row r="50" customFormat="false" ht="15" hidden="false" customHeight="false" outlineLevel="0" collapsed="false">
      <c r="A50" s="4" t="str">
        <f aca="false">'Employee Master'!A50</f>
        <v>EMP1045</v>
      </c>
      <c r="B50" s="4" t="str">
        <f aca="false">CONCATENATE('Employee Master'!B50," ",'Employee Master'!C50)</f>
        <v>Kiara Mehta</v>
      </c>
      <c r="C50" s="4" t="str">
        <f aca="false">'Employee Master'!D50</f>
        <v>Engineering</v>
      </c>
      <c r="D50" s="4" t="n">
        <v>14</v>
      </c>
      <c r="E50" s="4" t="n">
        <v>3</v>
      </c>
      <c r="F50" s="4" t="n">
        <v>5</v>
      </c>
      <c r="G50" s="4" t="n">
        <v>22</v>
      </c>
      <c r="H50" s="7" t="n">
        <f aca="false">D50/G50</f>
        <v>0.636363636363636</v>
      </c>
    </row>
    <row r="51" customFormat="false" ht="15" hidden="false" customHeight="false" outlineLevel="0" collapsed="false">
      <c r="A51" s="4" t="str">
        <f aca="false">'Employee Master'!A51</f>
        <v>EMP1046</v>
      </c>
      <c r="B51" s="4" t="str">
        <f aca="false">CONCATENATE('Employee Master'!B51," ",'Employee Master'!C51)</f>
        <v>Robert Patel</v>
      </c>
      <c r="C51" s="4" t="str">
        <f aca="false">'Employee Master'!D51</f>
        <v>Finance</v>
      </c>
      <c r="D51" s="4" t="n">
        <v>18</v>
      </c>
      <c r="E51" s="4" t="n">
        <v>1</v>
      </c>
      <c r="F51" s="4" t="n">
        <v>3</v>
      </c>
      <c r="G51" s="4" t="n">
        <v>22</v>
      </c>
      <c r="H51" s="7" t="n">
        <f aca="false">D51/G51</f>
        <v>0.818181818181818</v>
      </c>
    </row>
    <row r="52" customFormat="false" ht="15" hidden="false" customHeight="false" outlineLevel="0" collapsed="false">
      <c r="A52" s="4" t="str">
        <f aca="false">'Employee Master'!A52</f>
        <v>EMP1047</v>
      </c>
      <c r="B52" s="4" t="str">
        <f aca="false">CONCATENATE('Employee Master'!B52," ",'Employee Master'!C52)</f>
        <v>Aditya Reddy</v>
      </c>
      <c r="C52" s="4" t="str">
        <f aca="false">'Employee Master'!D52</f>
        <v>Finance</v>
      </c>
      <c r="D52" s="4" t="n">
        <v>15</v>
      </c>
      <c r="E52" s="4" t="n">
        <v>3</v>
      </c>
      <c r="F52" s="4" t="n">
        <v>4</v>
      </c>
      <c r="G52" s="4" t="n">
        <v>22</v>
      </c>
      <c r="H52" s="7" t="n">
        <f aca="false">D52/G52</f>
        <v>0.681818181818182</v>
      </c>
    </row>
    <row r="53" customFormat="false" ht="15" hidden="false" customHeight="false" outlineLevel="0" collapsed="false">
      <c r="A53" s="4" t="str">
        <f aca="false">'Employee Master'!A53</f>
        <v>EMP1048</v>
      </c>
      <c r="B53" s="4" t="str">
        <f aca="false">CONCATENATE('Employee Master'!B53," ",'Employee Master'!C53)</f>
        <v>Amelia Rao</v>
      </c>
      <c r="C53" s="4" t="str">
        <f aca="false">'Employee Master'!D53</f>
        <v>Marketing</v>
      </c>
      <c r="D53" s="4" t="n">
        <v>15</v>
      </c>
      <c r="E53" s="4" t="n">
        <v>1</v>
      </c>
      <c r="F53" s="4" t="n">
        <v>6</v>
      </c>
      <c r="G53" s="4" t="n">
        <v>22</v>
      </c>
      <c r="H53" s="7" t="n">
        <f aca="false">D53/G53</f>
        <v>0.681818181818182</v>
      </c>
    </row>
    <row r="54" customFormat="false" ht="15" hidden="false" customHeight="false" outlineLevel="0" collapsed="false">
      <c r="A54" s="4" t="str">
        <f aca="false">'Employee Master'!A54</f>
        <v>EMP1049</v>
      </c>
      <c r="B54" s="4" t="str">
        <f aca="false">CONCATENATE('Employee Master'!B54," ",'Employee Master'!C54)</f>
        <v>Michael Brown</v>
      </c>
      <c r="C54" s="4" t="str">
        <f aca="false">'Employee Master'!D54</f>
        <v>Engineering</v>
      </c>
      <c r="D54" s="4" t="n">
        <v>14</v>
      </c>
      <c r="E54" s="4" t="n">
        <v>0</v>
      </c>
      <c r="F54" s="4" t="n">
        <v>8</v>
      </c>
      <c r="G54" s="4" t="n">
        <v>22</v>
      </c>
      <c r="H54" s="7" t="n">
        <f aca="false">D54/G54</f>
        <v>0.636363636363636</v>
      </c>
    </row>
    <row r="55" customFormat="false" ht="15" hidden="false" customHeight="false" outlineLevel="0" collapsed="false">
      <c r="A55" s="4" t="str">
        <f aca="false">'Employee Master'!A55</f>
        <v>EMP1050</v>
      </c>
      <c r="B55" s="4" t="str">
        <f aca="false">CONCATENATE('Employee Master'!B55," ",'Employee Master'!C55)</f>
        <v>Hiro Brown</v>
      </c>
      <c r="C55" s="4" t="str">
        <f aca="false">'Employee Master'!D55</f>
        <v>Marketing</v>
      </c>
      <c r="D55" s="4" t="n">
        <v>19</v>
      </c>
      <c r="E55" s="4" t="n">
        <v>1</v>
      </c>
      <c r="F55" s="4" t="n">
        <v>2</v>
      </c>
      <c r="G55" s="4" t="n">
        <v>22</v>
      </c>
      <c r="H55" s="7" t="n">
        <f aca="false">D55/G55</f>
        <v>0.863636363636364</v>
      </c>
    </row>
    <row r="56" customFormat="false" ht="15" hidden="false" customHeight="false" outlineLevel="0" collapsed="false">
      <c r="A56" s="4" t="str">
        <f aca="false">'Employee Master'!A56</f>
        <v>EMP1051</v>
      </c>
      <c r="B56" s="4" t="str">
        <f aca="false">CONCATENATE('Employee Master'!B56," ",'Employee Master'!C56)</f>
        <v>Yuki Malhotra</v>
      </c>
      <c r="C56" s="4" t="str">
        <f aca="false">'Employee Master'!D56</f>
        <v>Sales</v>
      </c>
      <c r="D56" s="4" t="n">
        <v>16</v>
      </c>
      <c r="E56" s="4" t="n">
        <v>1</v>
      </c>
      <c r="F56" s="4" t="n">
        <v>5</v>
      </c>
      <c r="G56" s="4" t="n">
        <v>22</v>
      </c>
      <c r="H56" s="7" t="n">
        <f aca="false">D56/G56</f>
        <v>0.727272727272727</v>
      </c>
    </row>
    <row r="57" customFormat="false" ht="15" hidden="false" customHeight="false" outlineLevel="0" collapsed="false">
      <c r="A57" s="4" t="str">
        <f aca="false">'Employee Master'!A57</f>
        <v>EMP1052</v>
      </c>
      <c r="B57" s="4" t="str">
        <f aca="false">CONCATENATE('Employee Master'!B57," ",'Employee Master'!C57)</f>
        <v>Harper Anderson</v>
      </c>
      <c r="C57" s="4" t="str">
        <f aca="false">'Employee Master'!D57</f>
        <v>Operations</v>
      </c>
      <c r="D57" s="4" t="n">
        <v>15</v>
      </c>
      <c r="E57" s="4" t="n">
        <v>1</v>
      </c>
      <c r="F57" s="4" t="n">
        <v>6</v>
      </c>
      <c r="G57" s="4" t="n">
        <v>22</v>
      </c>
      <c r="H57" s="7" t="n">
        <f aca="false">D57/G57</f>
        <v>0.681818181818182</v>
      </c>
    </row>
    <row r="58" customFormat="false" ht="15" hidden="false" customHeight="false" outlineLevel="0" collapsed="false">
      <c r="A58" s="4" t="str">
        <f aca="false">'Employee Master'!A58</f>
        <v>EMP1053</v>
      </c>
      <c r="B58" s="4" t="str">
        <f aca="false">CONCATENATE('Employee Master'!B58," ",'Employee Master'!C58)</f>
        <v>Jae Nair</v>
      </c>
      <c r="C58" s="4" t="str">
        <f aca="false">'Employee Master'!D58</f>
        <v>Operations</v>
      </c>
      <c r="D58" s="4" t="n">
        <v>17</v>
      </c>
      <c r="E58" s="4" t="n">
        <v>1</v>
      </c>
      <c r="F58" s="4" t="n">
        <v>4</v>
      </c>
      <c r="G58" s="4" t="n">
        <v>22</v>
      </c>
      <c r="H58" s="7" t="n">
        <f aca="false">D58/G58</f>
        <v>0.772727272727273</v>
      </c>
    </row>
    <row r="59" customFormat="false" ht="15" hidden="false" customHeight="false" outlineLevel="0" collapsed="false">
      <c r="A59" s="4" t="str">
        <f aca="false">'Employee Master'!A59</f>
        <v>EMP1054</v>
      </c>
      <c r="B59" s="4" t="str">
        <f aca="false">CONCATENATE('Employee Master'!B59," ",'Employee Master'!C59)</f>
        <v>Kiara Chatterjee</v>
      </c>
      <c r="C59" s="4" t="str">
        <f aca="false">'Employee Master'!D59</f>
        <v>Sales</v>
      </c>
      <c r="D59" s="4" t="n">
        <v>19</v>
      </c>
      <c r="E59" s="4" t="n">
        <v>1</v>
      </c>
      <c r="F59" s="4" t="n">
        <v>2</v>
      </c>
      <c r="G59" s="4" t="n">
        <v>22</v>
      </c>
      <c r="H59" s="7" t="n">
        <f aca="false">D59/G59</f>
        <v>0.863636363636364</v>
      </c>
    </row>
    <row r="60" customFormat="false" ht="15" hidden="false" customHeight="false" outlineLevel="0" collapsed="false">
      <c r="A60" s="4" t="str">
        <f aca="false">'Employee Master'!A60</f>
        <v>EMP1055</v>
      </c>
      <c r="B60" s="4" t="str">
        <f aca="false">CONCATENATE('Employee Master'!B60," ",'Employee Master'!C60)</f>
        <v>Ryan Brown</v>
      </c>
      <c r="C60" s="4" t="str">
        <f aca="false">'Employee Master'!D60</f>
        <v>Operations</v>
      </c>
      <c r="D60" s="4" t="n">
        <v>14</v>
      </c>
      <c r="E60" s="4" t="n">
        <v>2</v>
      </c>
      <c r="F60" s="4" t="n">
        <v>6</v>
      </c>
      <c r="G60" s="4" t="n">
        <v>22</v>
      </c>
      <c r="H60" s="7" t="n">
        <f aca="false">D60/G60</f>
        <v>0.636363636363636</v>
      </c>
    </row>
    <row r="61" customFormat="false" ht="15" hidden="false" customHeight="false" outlineLevel="0" collapsed="false">
      <c r="A61" s="4" t="str">
        <f aca="false">'Employee Master'!A61</f>
        <v>EMP1056</v>
      </c>
      <c r="B61" s="4" t="str">
        <f aca="false">CONCATENATE('Employee Master'!B61," ",'Employee Master'!C61)</f>
        <v>Jun Chopra</v>
      </c>
      <c r="C61" s="4" t="str">
        <f aca="false">'Employee Master'!D61</f>
        <v>Engineering</v>
      </c>
      <c r="D61" s="4" t="n">
        <v>16</v>
      </c>
      <c r="E61" s="4" t="n">
        <v>1</v>
      </c>
      <c r="F61" s="4" t="n">
        <v>5</v>
      </c>
      <c r="G61" s="4" t="n">
        <v>22</v>
      </c>
      <c r="H61" s="7" t="n">
        <f aca="false">D61/G61</f>
        <v>0.727272727272727</v>
      </c>
    </row>
    <row r="62" customFormat="false" ht="15" hidden="false" customHeight="false" outlineLevel="0" collapsed="false">
      <c r="A62" s="4" t="str">
        <f aca="false">'Employee Master'!A62</f>
        <v>EMP1057</v>
      </c>
      <c r="B62" s="4" t="str">
        <f aca="false">CONCATENATE('Employee Master'!B62," ",'Employee Master'!C62)</f>
        <v>Charlotte Mehta</v>
      </c>
      <c r="C62" s="4" t="str">
        <f aca="false">'Employee Master'!D62</f>
        <v>Engineering</v>
      </c>
      <c r="D62" s="4" t="n">
        <v>22</v>
      </c>
      <c r="E62" s="4" t="n">
        <v>0</v>
      </c>
      <c r="F62" s="4" t="n">
        <v>0</v>
      </c>
      <c r="G62" s="4" t="n">
        <v>22</v>
      </c>
      <c r="H62" s="7" t="n">
        <f aca="false">D62/G62</f>
        <v>1</v>
      </c>
    </row>
    <row r="63" customFormat="false" ht="15" hidden="false" customHeight="false" outlineLevel="0" collapsed="false">
      <c r="A63" s="4" t="str">
        <f aca="false">'Employee Master'!A63</f>
        <v>EMP1058</v>
      </c>
      <c r="B63" s="4" t="str">
        <f aca="false">CONCATENATE('Employee Master'!B63," ",'Employee Master'!C63)</f>
        <v>Sofia Sen</v>
      </c>
      <c r="C63" s="4" t="str">
        <f aca="false">'Employee Master'!D63</f>
        <v>HR</v>
      </c>
      <c r="D63" s="4" t="n">
        <v>16</v>
      </c>
      <c r="E63" s="4" t="n">
        <v>0</v>
      </c>
      <c r="F63" s="4" t="n">
        <v>6</v>
      </c>
      <c r="G63" s="4" t="n">
        <v>22</v>
      </c>
      <c r="H63" s="7" t="n">
        <f aca="false">D63/G63</f>
        <v>0.727272727272727</v>
      </c>
    </row>
    <row r="64" customFormat="false" ht="15" hidden="false" customHeight="false" outlineLevel="0" collapsed="false">
      <c r="A64" s="4" t="str">
        <f aca="false">'Employee Master'!A64</f>
        <v>EMP1059</v>
      </c>
      <c r="B64" s="4" t="str">
        <f aca="false">CONCATENATE('Employee Master'!B64," ",'Employee Master'!C64)</f>
        <v>Sofia Mehta</v>
      </c>
      <c r="C64" s="4" t="str">
        <f aca="false">'Employee Master'!D64</f>
        <v>Operations</v>
      </c>
      <c r="D64" s="4" t="n">
        <v>14</v>
      </c>
      <c r="E64" s="4" t="n">
        <v>1</v>
      </c>
      <c r="F64" s="4" t="n">
        <v>7</v>
      </c>
      <c r="G64" s="4" t="n">
        <v>22</v>
      </c>
      <c r="H64" s="7" t="n">
        <f aca="false">D64/G64</f>
        <v>0.636363636363636</v>
      </c>
    </row>
    <row r="65" customFormat="false" ht="15" hidden="false" customHeight="false" outlineLevel="0" collapsed="false">
      <c r="A65" s="4" t="str">
        <f aca="false">'Employee Master'!A65</f>
        <v>EMP1060</v>
      </c>
      <c r="B65" s="4" t="str">
        <f aca="false">CONCATENATE('Employee Master'!B65," ",'Employee Master'!C65)</f>
        <v>Myra Kapoor</v>
      </c>
      <c r="C65" s="4" t="str">
        <f aca="false">'Employee Master'!D65</f>
        <v>Marketing</v>
      </c>
      <c r="D65" s="4" t="n">
        <v>14</v>
      </c>
      <c r="E65" s="4" t="n">
        <v>2</v>
      </c>
      <c r="F65" s="4" t="n">
        <v>6</v>
      </c>
      <c r="G65" s="4" t="n">
        <v>22</v>
      </c>
      <c r="H65" s="7" t="n">
        <f aca="false">D65/G65</f>
        <v>0.636363636363636</v>
      </c>
    </row>
    <row r="66" customFormat="false" ht="15" hidden="false" customHeight="false" outlineLevel="0" collapsed="false">
      <c r="A66" s="4" t="str">
        <f aca="false">'Employee Master'!A66</f>
        <v>EMP1061</v>
      </c>
      <c r="B66" s="4" t="str">
        <f aca="false">CONCATENATE('Employee Master'!B66," ",'Employee Master'!C66)</f>
        <v>Li Rao</v>
      </c>
      <c r="C66" s="4" t="str">
        <f aca="false">'Employee Master'!D66</f>
        <v>Engineering</v>
      </c>
      <c r="D66" s="4" t="n">
        <v>17</v>
      </c>
      <c r="E66" s="4" t="n">
        <v>2</v>
      </c>
      <c r="F66" s="4" t="n">
        <v>3</v>
      </c>
      <c r="G66" s="4" t="n">
        <v>22</v>
      </c>
      <c r="H66" s="7" t="n">
        <f aca="false">D66/G66</f>
        <v>0.772727272727273</v>
      </c>
    </row>
    <row r="67" customFormat="false" ht="15" hidden="false" customHeight="false" outlineLevel="0" collapsed="false">
      <c r="A67" s="4" t="str">
        <f aca="false">'Employee Master'!A67</f>
        <v>EMP1062</v>
      </c>
      <c r="B67" s="4" t="str">
        <f aca="false">CONCATENATE('Employee Master'!B67," ",'Employee Master'!C67)</f>
        <v>Aadhya Das</v>
      </c>
      <c r="C67" s="4" t="str">
        <f aca="false">'Employee Master'!D67</f>
        <v>HR</v>
      </c>
      <c r="D67" s="4" t="n">
        <v>14</v>
      </c>
      <c r="E67" s="4" t="n">
        <v>1</v>
      </c>
      <c r="F67" s="4" t="n">
        <v>7</v>
      </c>
      <c r="G67" s="4" t="n">
        <v>22</v>
      </c>
      <c r="H67" s="7" t="n">
        <f aca="false">D67/G67</f>
        <v>0.636363636363636</v>
      </c>
    </row>
    <row r="68" customFormat="false" ht="15" hidden="false" customHeight="false" outlineLevel="0" collapsed="false">
      <c r="A68" s="4" t="str">
        <f aca="false">'Employee Master'!A68</f>
        <v>EMP1063</v>
      </c>
      <c r="B68" s="4" t="str">
        <f aca="false">CONCATENATE('Employee Master'!B68," ",'Employee Master'!C68)</f>
        <v>Sofia Williams</v>
      </c>
      <c r="C68" s="4" t="str">
        <f aca="false">'Employee Master'!D68</f>
        <v>HR</v>
      </c>
      <c r="D68" s="4" t="n">
        <v>18</v>
      </c>
      <c r="E68" s="4" t="n">
        <v>0</v>
      </c>
      <c r="F68" s="4" t="n">
        <v>4</v>
      </c>
      <c r="G68" s="4" t="n">
        <v>22</v>
      </c>
      <c r="H68" s="7" t="n">
        <f aca="false">D68/G68</f>
        <v>0.818181818181818</v>
      </c>
    </row>
    <row r="69" customFormat="false" ht="15" hidden="false" customHeight="false" outlineLevel="0" collapsed="false">
      <c r="A69" s="4" t="str">
        <f aca="false">'Employee Master'!A69</f>
        <v>EMP1064</v>
      </c>
      <c r="B69" s="4" t="str">
        <f aca="false">CONCATENATE('Employee Master'!B69," ",'Employee Master'!C69)</f>
        <v>David Smith</v>
      </c>
      <c r="C69" s="4" t="str">
        <f aca="false">'Employee Master'!D69</f>
        <v>Operations</v>
      </c>
      <c r="D69" s="4" t="n">
        <v>16</v>
      </c>
      <c r="E69" s="4" t="n">
        <v>3</v>
      </c>
      <c r="F69" s="4" t="n">
        <v>3</v>
      </c>
      <c r="G69" s="4" t="n">
        <v>22</v>
      </c>
      <c r="H69" s="7" t="n">
        <f aca="false">D69/G69</f>
        <v>0.727272727272727</v>
      </c>
    </row>
    <row r="70" customFormat="false" ht="15" hidden="false" customHeight="false" outlineLevel="0" collapsed="false">
      <c r="A70" s="4" t="str">
        <f aca="false">'Employee Master'!A70</f>
        <v>EMP1065</v>
      </c>
      <c r="B70" s="4" t="str">
        <f aca="false">CONCATENATE('Employee Master'!B70," ",'Employee Master'!C70)</f>
        <v>Daniel Wilson</v>
      </c>
      <c r="C70" s="4" t="str">
        <f aca="false">'Employee Master'!D70</f>
        <v>Finance</v>
      </c>
      <c r="D70" s="4" t="n">
        <v>22</v>
      </c>
      <c r="E70" s="4" t="n">
        <v>0</v>
      </c>
      <c r="F70" s="4" t="n">
        <v>0</v>
      </c>
      <c r="G70" s="4" t="n">
        <v>22</v>
      </c>
      <c r="H70" s="7" t="n">
        <f aca="false">D70/G70</f>
        <v>1</v>
      </c>
    </row>
    <row r="71" customFormat="false" ht="15" hidden="false" customHeight="false" outlineLevel="0" collapsed="false">
      <c r="A71" s="4" t="str">
        <f aca="false">'Employee Master'!A71</f>
        <v>EMP1066</v>
      </c>
      <c r="B71" s="4" t="str">
        <f aca="false">CONCATENATE('Employee Master'!B71," ",'Employee Master'!C71)</f>
        <v>Anika Williams</v>
      </c>
      <c r="C71" s="4" t="str">
        <f aca="false">'Employee Master'!D71</f>
        <v>Marketing</v>
      </c>
      <c r="D71" s="4" t="n">
        <v>15</v>
      </c>
      <c r="E71" s="4" t="n">
        <v>3</v>
      </c>
      <c r="F71" s="4" t="n">
        <v>4</v>
      </c>
      <c r="G71" s="4" t="n">
        <v>22</v>
      </c>
      <c r="H71" s="7" t="n">
        <f aca="false">D71/G71</f>
        <v>0.681818181818182</v>
      </c>
    </row>
    <row r="72" customFormat="false" ht="15" hidden="false" customHeight="false" outlineLevel="0" collapsed="false">
      <c r="A72" s="4" t="str">
        <f aca="false">'Employee Master'!A72</f>
        <v>EMP1067</v>
      </c>
      <c r="B72" s="4" t="str">
        <f aca="false">CONCATENATE('Employee Master'!B72," ",'Employee Master'!C72)</f>
        <v>Anika Das</v>
      </c>
      <c r="C72" s="4" t="str">
        <f aca="false">'Employee Master'!D72</f>
        <v>Engineering</v>
      </c>
      <c r="D72" s="4" t="n">
        <v>21</v>
      </c>
      <c r="E72" s="4" t="n">
        <v>1</v>
      </c>
      <c r="F72" s="4" t="n">
        <v>0</v>
      </c>
      <c r="G72" s="4" t="n">
        <v>22</v>
      </c>
      <c r="H72" s="7" t="n">
        <f aca="false">D72/G72</f>
        <v>0.954545454545455</v>
      </c>
    </row>
    <row r="73" customFormat="false" ht="15" hidden="false" customHeight="false" outlineLevel="0" collapsed="false">
      <c r="A73" s="4" t="str">
        <f aca="false">'Employee Master'!A73</f>
        <v>EMP1068</v>
      </c>
      <c r="B73" s="4" t="str">
        <f aca="false">CONCATENATE('Employee Master'!B73," ",'Employee Master'!C73)</f>
        <v>Lucas Patel</v>
      </c>
      <c r="C73" s="4" t="str">
        <f aca="false">'Employee Master'!D73</f>
        <v>Engineering</v>
      </c>
      <c r="D73" s="4" t="n">
        <v>22</v>
      </c>
      <c r="E73" s="4" t="n">
        <v>0</v>
      </c>
      <c r="F73" s="4" t="n">
        <v>0</v>
      </c>
      <c r="G73" s="4" t="n">
        <v>22</v>
      </c>
      <c r="H73" s="7" t="n">
        <f aca="false">D73/G73</f>
        <v>1</v>
      </c>
    </row>
    <row r="74" customFormat="false" ht="15" hidden="false" customHeight="false" outlineLevel="0" collapsed="false">
      <c r="A74" s="4" t="str">
        <f aca="false">'Employee Master'!A74</f>
        <v>EMP1069</v>
      </c>
      <c r="B74" s="4" t="str">
        <f aca="false">CONCATENATE('Employee Master'!B74," ",'Employee Master'!C74)</f>
        <v>Myra Iyer</v>
      </c>
      <c r="C74" s="4" t="str">
        <f aca="false">'Employee Master'!D74</f>
        <v>HR</v>
      </c>
      <c r="D74" s="4" t="n">
        <v>21</v>
      </c>
      <c r="E74" s="4" t="n">
        <v>0</v>
      </c>
      <c r="F74" s="4" t="n">
        <v>1</v>
      </c>
      <c r="G74" s="4" t="n">
        <v>22</v>
      </c>
      <c r="H74" s="7" t="n">
        <f aca="false">D74/G74</f>
        <v>0.954545454545455</v>
      </c>
    </row>
    <row r="75" customFormat="false" ht="15" hidden="false" customHeight="false" outlineLevel="0" collapsed="false">
      <c r="A75" s="4" t="str">
        <f aca="false">'Employee Master'!A75</f>
        <v>EMP1070</v>
      </c>
      <c r="B75" s="4" t="str">
        <f aca="false">CONCATENATE('Employee Master'!B75," ",'Employee Master'!C75)</f>
        <v>Ananya Anderson</v>
      </c>
      <c r="C75" s="4" t="str">
        <f aca="false">'Employee Master'!D75</f>
        <v>Finance</v>
      </c>
      <c r="D75" s="4" t="n">
        <v>14</v>
      </c>
      <c r="E75" s="4" t="n">
        <v>2</v>
      </c>
      <c r="F75" s="4" t="n">
        <v>6</v>
      </c>
      <c r="G75" s="4" t="n">
        <v>22</v>
      </c>
      <c r="H75" s="7" t="n">
        <f aca="false">D75/G75</f>
        <v>0.636363636363636</v>
      </c>
    </row>
    <row r="76" customFormat="false" ht="15" hidden="false" customHeight="false" outlineLevel="0" collapsed="false">
      <c r="A76" s="4" t="str">
        <f aca="false">'Employee Master'!A76</f>
        <v>EMP1071</v>
      </c>
      <c r="B76" s="4" t="str">
        <f aca="false">CONCATENATE('Employee Master'!B76," ",'Employee Master'!C76)</f>
        <v>Amelia Shah</v>
      </c>
      <c r="C76" s="4" t="str">
        <f aca="false">'Employee Master'!D76</f>
        <v>HR</v>
      </c>
      <c r="D76" s="4" t="n">
        <v>21</v>
      </c>
      <c r="E76" s="4" t="n">
        <v>0</v>
      </c>
      <c r="F76" s="4" t="n">
        <v>1</v>
      </c>
      <c r="G76" s="4" t="n">
        <v>22</v>
      </c>
      <c r="H76" s="7" t="n">
        <f aca="false">D76/G76</f>
        <v>0.954545454545455</v>
      </c>
    </row>
    <row r="77" customFormat="false" ht="15" hidden="false" customHeight="false" outlineLevel="0" collapsed="false">
      <c r="A77" s="4" t="str">
        <f aca="false">'Employee Master'!A77</f>
        <v>EMP1072</v>
      </c>
      <c r="B77" s="4" t="str">
        <f aca="false">CONCATENATE('Employee Master'!B77," ",'Employee Master'!C77)</f>
        <v>Yuki Anderson</v>
      </c>
      <c r="C77" s="4" t="str">
        <f aca="false">'Employee Master'!D77</f>
        <v>Engineering</v>
      </c>
      <c r="D77" s="4" t="n">
        <v>14</v>
      </c>
      <c r="E77" s="4" t="n">
        <v>3</v>
      </c>
      <c r="F77" s="4" t="n">
        <v>5</v>
      </c>
      <c r="G77" s="4" t="n">
        <v>22</v>
      </c>
      <c r="H77" s="7" t="n">
        <f aca="false">D77/G77</f>
        <v>0.636363636363636</v>
      </c>
    </row>
    <row r="78" customFormat="false" ht="15" hidden="false" customHeight="false" outlineLevel="0" collapsed="false">
      <c r="A78" s="4" t="str">
        <f aca="false">'Employee Master'!A78</f>
        <v>EMP1073</v>
      </c>
      <c r="B78" s="4" t="str">
        <f aca="false">CONCATENATE('Employee Master'!B78," ",'Employee Master'!C78)</f>
        <v>Arjun Davis</v>
      </c>
      <c r="C78" s="4" t="str">
        <f aca="false">'Employee Master'!D78</f>
        <v>Operations</v>
      </c>
      <c r="D78" s="4" t="n">
        <v>20</v>
      </c>
      <c r="E78" s="4" t="n">
        <v>1</v>
      </c>
      <c r="F78" s="4" t="n">
        <v>1</v>
      </c>
      <c r="G78" s="4" t="n">
        <v>22</v>
      </c>
      <c r="H78" s="7" t="n">
        <f aca="false">D78/G78</f>
        <v>0.909090909090909</v>
      </c>
    </row>
    <row r="79" customFormat="false" ht="15" hidden="false" customHeight="false" outlineLevel="0" collapsed="false">
      <c r="A79" s="4" t="str">
        <f aca="false">'Employee Master'!A79</f>
        <v>EMP1074</v>
      </c>
      <c r="B79" s="4" t="str">
        <f aca="false">CONCATENATE('Employee Master'!B79," ",'Employee Master'!C79)</f>
        <v>Michael Patel</v>
      </c>
      <c r="C79" s="4" t="str">
        <f aca="false">'Employee Master'!D79</f>
        <v>HR</v>
      </c>
      <c r="D79" s="4" t="n">
        <v>15</v>
      </c>
      <c r="E79" s="4" t="n">
        <v>3</v>
      </c>
      <c r="F79" s="4" t="n">
        <v>4</v>
      </c>
      <c r="G79" s="4" t="n">
        <v>22</v>
      </c>
      <c r="H79" s="7" t="n">
        <f aca="false">D79/G79</f>
        <v>0.681818181818182</v>
      </c>
    </row>
    <row r="80" customFormat="false" ht="15" hidden="false" customHeight="false" outlineLevel="0" collapsed="false">
      <c r="A80" s="4" t="str">
        <f aca="false">'Employee Master'!A80</f>
        <v>EMP1075</v>
      </c>
      <c r="B80" s="4" t="str">
        <f aca="false">CONCATENATE('Employee Master'!B80," ",'Employee Master'!C80)</f>
        <v>Abigail Chatterjee</v>
      </c>
      <c r="C80" s="4" t="str">
        <f aca="false">'Employee Master'!D80</f>
        <v>Finance</v>
      </c>
      <c r="D80" s="4" t="n">
        <v>21</v>
      </c>
      <c r="E80" s="4" t="n">
        <v>0</v>
      </c>
      <c r="F80" s="4" t="n">
        <v>1</v>
      </c>
      <c r="G80" s="4" t="n">
        <v>22</v>
      </c>
      <c r="H80" s="7" t="n">
        <f aca="false">D80/G80</f>
        <v>0.954545454545455</v>
      </c>
    </row>
    <row r="81" customFormat="false" ht="15" hidden="false" customHeight="false" outlineLevel="0" collapsed="false">
      <c r="A81" s="4" t="str">
        <f aca="false">'Employee Master'!A81</f>
        <v>EMP1076</v>
      </c>
      <c r="B81" s="4" t="str">
        <f aca="false">CONCATENATE('Employee Master'!B81," ",'Employee Master'!C81)</f>
        <v>Myra Das</v>
      </c>
      <c r="C81" s="4" t="str">
        <f aca="false">'Employee Master'!D81</f>
        <v>Engineering</v>
      </c>
      <c r="D81" s="4" t="n">
        <v>15</v>
      </c>
      <c r="E81" s="4" t="n">
        <v>2</v>
      </c>
      <c r="F81" s="4" t="n">
        <v>5</v>
      </c>
      <c r="G81" s="4" t="n">
        <v>22</v>
      </c>
      <c r="H81" s="7" t="n">
        <f aca="false">D81/G81</f>
        <v>0.681818181818182</v>
      </c>
    </row>
    <row r="82" customFormat="false" ht="15" hidden="false" customHeight="false" outlineLevel="0" collapsed="false">
      <c r="A82" s="4" t="str">
        <f aca="false">'Employee Master'!A82</f>
        <v>EMP1077</v>
      </c>
      <c r="B82" s="4" t="str">
        <f aca="false">CONCATENATE('Employee Master'!B82," ",'Employee Master'!C82)</f>
        <v>John Sharma</v>
      </c>
      <c r="C82" s="4" t="str">
        <f aca="false">'Employee Master'!D82</f>
        <v>HR</v>
      </c>
      <c r="D82" s="4" t="n">
        <v>16</v>
      </c>
      <c r="E82" s="4" t="n">
        <v>0</v>
      </c>
      <c r="F82" s="4" t="n">
        <v>6</v>
      </c>
      <c r="G82" s="4" t="n">
        <v>22</v>
      </c>
      <c r="H82" s="7" t="n">
        <f aca="false">D82/G82</f>
        <v>0.727272727272727</v>
      </c>
    </row>
    <row r="83" customFormat="false" ht="15" hidden="false" customHeight="false" outlineLevel="0" collapsed="false">
      <c r="A83" s="4" t="str">
        <f aca="false">'Employee Master'!A83</f>
        <v>EMP1078</v>
      </c>
      <c r="B83" s="4" t="str">
        <f aca="false">CONCATENATE('Employee Master'!B83," ",'Employee Master'!C83)</f>
        <v>John Kapoor</v>
      </c>
      <c r="C83" s="4" t="str">
        <f aca="false">'Employee Master'!D83</f>
        <v>Finance</v>
      </c>
      <c r="D83" s="4" t="n">
        <v>16</v>
      </c>
      <c r="E83" s="4" t="n">
        <v>2</v>
      </c>
      <c r="F83" s="4" t="n">
        <v>4</v>
      </c>
      <c r="G83" s="4" t="n">
        <v>22</v>
      </c>
      <c r="H83" s="7" t="n">
        <f aca="false">D83/G83</f>
        <v>0.727272727272727</v>
      </c>
    </row>
    <row r="84" customFormat="false" ht="15" hidden="false" customHeight="false" outlineLevel="0" collapsed="false">
      <c r="A84" s="4" t="str">
        <f aca="false">'Employee Master'!A84</f>
        <v>EMP1079</v>
      </c>
      <c r="B84" s="4" t="str">
        <f aca="false">CONCATENATE('Employee Master'!B84," ",'Employee Master'!C84)</f>
        <v>Olivia Garcia</v>
      </c>
      <c r="C84" s="4" t="str">
        <f aca="false">'Employee Master'!D84</f>
        <v>Sales</v>
      </c>
      <c r="D84" s="4" t="n">
        <v>22</v>
      </c>
      <c r="E84" s="4" t="n">
        <v>0</v>
      </c>
      <c r="F84" s="4" t="n">
        <v>0</v>
      </c>
      <c r="G84" s="4" t="n">
        <v>22</v>
      </c>
      <c r="H84" s="7" t="n">
        <f aca="false">D84/G84</f>
        <v>1</v>
      </c>
    </row>
    <row r="85" customFormat="false" ht="15" hidden="false" customHeight="false" outlineLevel="0" collapsed="false">
      <c r="A85" s="4" t="str">
        <f aca="false">'Employee Master'!A85</f>
        <v>EMP1080</v>
      </c>
      <c r="B85" s="4" t="str">
        <f aca="false">CONCATENATE('Employee Master'!B85," ",'Employee Master'!C85)</f>
        <v>Kiara Williams</v>
      </c>
      <c r="C85" s="4" t="str">
        <f aca="false">'Employee Master'!D85</f>
        <v>Operations</v>
      </c>
      <c r="D85" s="4" t="n">
        <v>20</v>
      </c>
      <c r="E85" s="4" t="n">
        <v>2</v>
      </c>
      <c r="F85" s="4" t="n">
        <v>0</v>
      </c>
      <c r="G85" s="4" t="n">
        <v>22</v>
      </c>
      <c r="H85" s="7" t="n">
        <f aca="false">D85/G85</f>
        <v>0.909090909090909</v>
      </c>
    </row>
    <row r="86" customFormat="false" ht="15" hidden="false" customHeight="false" outlineLevel="0" collapsed="false">
      <c r="A86" s="4" t="str">
        <f aca="false">'Employee Master'!A86</f>
        <v>EMP1081</v>
      </c>
      <c r="B86" s="4" t="str">
        <f aca="false">CONCATENATE('Employee Master'!B86," ",'Employee Master'!C86)</f>
        <v>Andrew Malhotra</v>
      </c>
      <c r="C86" s="4" t="str">
        <f aca="false">'Employee Master'!D86</f>
        <v>Finance</v>
      </c>
      <c r="D86" s="4" t="n">
        <v>22</v>
      </c>
      <c r="E86" s="4" t="n">
        <v>0</v>
      </c>
      <c r="F86" s="4" t="n">
        <v>0</v>
      </c>
      <c r="G86" s="4" t="n">
        <v>22</v>
      </c>
      <c r="H86" s="7" t="n">
        <f aca="false">D86/G86</f>
        <v>1</v>
      </c>
    </row>
    <row r="87" customFormat="false" ht="15" hidden="false" customHeight="false" outlineLevel="0" collapsed="false">
      <c r="A87" s="4" t="str">
        <f aca="false">'Employee Master'!A87</f>
        <v>EMP1082</v>
      </c>
      <c r="B87" s="4" t="str">
        <f aca="false">CONCATENATE('Employee Master'!B87," ",'Employee Master'!C87)</f>
        <v>Krishna Malhotra</v>
      </c>
      <c r="C87" s="4" t="str">
        <f aca="false">'Employee Master'!D87</f>
        <v>Sales</v>
      </c>
      <c r="D87" s="4" t="n">
        <v>21</v>
      </c>
      <c r="E87" s="4" t="n">
        <v>1</v>
      </c>
      <c r="F87" s="4" t="n">
        <v>0</v>
      </c>
      <c r="G87" s="4" t="n">
        <v>22</v>
      </c>
      <c r="H87" s="7" t="n">
        <f aca="false">D87/G87</f>
        <v>0.954545454545455</v>
      </c>
    </row>
    <row r="88" customFormat="false" ht="15" hidden="false" customHeight="false" outlineLevel="0" collapsed="false">
      <c r="A88" s="4" t="str">
        <f aca="false">'Employee Master'!A88</f>
        <v>EMP1083</v>
      </c>
      <c r="B88" s="4" t="str">
        <f aca="false">CONCATENATE('Employee Master'!B88," ",'Employee Master'!C88)</f>
        <v>Navya Malhotra</v>
      </c>
      <c r="C88" s="4" t="str">
        <f aca="false">'Employee Master'!D88</f>
        <v>Finance</v>
      </c>
      <c r="D88" s="4" t="n">
        <v>15</v>
      </c>
      <c r="E88" s="4" t="n">
        <v>0</v>
      </c>
      <c r="F88" s="4" t="n">
        <v>7</v>
      </c>
      <c r="G88" s="4" t="n">
        <v>22</v>
      </c>
      <c r="H88" s="7" t="n">
        <f aca="false">D88/G88</f>
        <v>0.681818181818182</v>
      </c>
    </row>
    <row r="89" customFormat="false" ht="15" hidden="false" customHeight="false" outlineLevel="0" collapsed="false">
      <c r="A89" s="4" t="str">
        <f aca="false">'Employee Master'!A89</f>
        <v>EMP1084</v>
      </c>
      <c r="B89" s="4" t="str">
        <f aca="false">CONCATENATE('Employee Master'!B89," ",'Employee Master'!C89)</f>
        <v>Isha Sharma</v>
      </c>
      <c r="C89" s="4" t="str">
        <f aca="false">'Employee Master'!D89</f>
        <v>Operations</v>
      </c>
      <c r="D89" s="4" t="n">
        <v>22</v>
      </c>
      <c r="E89" s="4" t="n">
        <v>0</v>
      </c>
      <c r="F89" s="4" t="n">
        <v>0</v>
      </c>
      <c r="G89" s="4" t="n">
        <v>22</v>
      </c>
      <c r="H89" s="7" t="n">
        <f aca="false">D89/G89</f>
        <v>1</v>
      </c>
    </row>
    <row r="90" customFormat="false" ht="15" hidden="false" customHeight="false" outlineLevel="0" collapsed="false">
      <c r="A90" s="4" t="str">
        <f aca="false">'Employee Master'!A90</f>
        <v>EMP1085</v>
      </c>
      <c r="B90" s="4" t="str">
        <f aca="false">CONCATENATE('Employee Master'!B90," ",'Employee Master'!C90)</f>
        <v>Chen Iyer</v>
      </c>
      <c r="C90" s="4" t="str">
        <f aca="false">'Employee Master'!D90</f>
        <v>Operations</v>
      </c>
      <c r="D90" s="4" t="n">
        <v>20</v>
      </c>
      <c r="E90" s="4" t="n">
        <v>1</v>
      </c>
      <c r="F90" s="4" t="n">
        <v>1</v>
      </c>
      <c r="G90" s="4" t="n">
        <v>22</v>
      </c>
      <c r="H90" s="7" t="n">
        <f aca="false">D90/G90</f>
        <v>0.909090909090909</v>
      </c>
    </row>
    <row r="91" customFormat="false" ht="15" hidden="false" customHeight="false" outlineLevel="0" collapsed="false">
      <c r="A91" s="4" t="str">
        <f aca="false">'Employee Master'!A91</f>
        <v>EMP1086</v>
      </c>
      <c r="B91" s="4" t="str">
        <f aca="false">CONCATENATE('Employee Master'!B91," ",'Employee Master'!C91)</f>
        <v>Joseph Smith</v>
      </c>
      <c r="C91" s="4" t="str">
        <f aca="false">'Employee Master'!D91</f>
        <v>Sales</v>
      </c>
      <c r="D91" s="4" t="n">
        <v>17</v>
      </c>
      <c r="E91" s="4" t="n">
        <v>3</v>
      </c>
      <c r="F91" s="4" t="n">
        <v>2</v>
      </c>
      <c r="G91" s="4" t="n">
        <v>22</v>
      </c>
      <c r="H91" s="7" t="n">
        <f aca="false">D91/G91</f>
        <v>0.772727272727273</v>
      </c>
    </row>
    <row r="92" customFormat="false" ht="15" hidden="false" customHeight="false" outlineLevel="0" collapsed="false">
      <c r="A92" s="4" t="str">
        <f aca="false">'Employee Master'!A92</f>
        <v>EMP1087</v>
      </c>
      <c r="B92" s="4" t="str">
        <f aca="false">CONCATENATE('Employee Master'!B92," ",'Employee Master'!C92)</f>
        <v>Arjun Wilson</v>
      </c>
      <c r="C92" s="4" t="str">
        <f aca="false">'Employee Master'!D92</f>
        <v>Operations</v>
      </c>
      <c r="D92" s="4" t="n">
        <v>19</v>
      </c>
      <c r="E92" s="4" t="n">
        <v>3</v>
      </c>
      <c r="F92" s="4" t="n">
        <v>0</v>
      </c>
      <c r="G92" s="4" t="n">
        <v>22</v>
      </c>
      <c r="H92" s="7" t="n">
        <f aca="false">D92/G92</f>
        <v>0.863636363636364</v>
      </c>
    </row>
    <row r="93" customFormat="false" ht="15" hidden="false" customHeight="false" outlineLevel="0" collapsed="false">
      <c r="A93" s="4" t="str">
        <f aca="false">'Employee Master'!A93</f>
        <v>EMP1088</v>
      </c>
      <c r="B93" s="4" t="str">
        <f aca="false">CONCATENATE('Employee Master'!B93," ",'Employee Master'!C93)</f>
        <v>Myra Reddy</v>
      </c>
      <c r="C93" s="4" t="str">
        <f aca="false">'Employee Master'!D93</f>
        <v>Finance</v>
      </c>
      <c r="D93" s="4" t="n">
        <v>20</v>
      </c>
      <c r="E93" s="4" t="n">
        <v>1</v>
      </c>
      <c r="F93" s="4" t="n">
        <v>1</v>
      </c>
      <c r="G93" s="4" t="n">
        <v>22</v>
      </c>
      <c r="H93" s="7" t="n">
        <f aca="false">D93/G93</f>
        <v>0.909090909090909</v>
      </c>
    </row>
    <row r="94" customFormat="false" ht="15" hidden="false" customHeight="false" outlineLevel="0" collapsed="false">
      <c r="A94" s="4" t="str">
        <f aca="false">'Employee Master'!A94</f>
        <v>EMP1089</v>
      </c>
      <c r="B94" s="4" t="str">
        <f aca="false">CONCATENATE('Employee Master'!B94," ",'Employee Master'!C94)</f>
        <v>Isha Wilson</v>
      </c>
      <c r="C94" s="4" t="str">
        <f aca="false">'Employee Master'!D94</f>
        <v>Finance</v>
      </c>
      <c r="D94" s="4" t="n">
        <v>15</v>
      </c>
      <c r="E94" s="4" t="n">
        <v>2</v>
      </c>
      <c r="F94" s="4" t="n">
        <v>5</v>
      </c>
      <c r="G94" s="4" t="n">
        <v>22</v>
      </c>
      <c r="H94" s="7" t="n">
        <f aca="false">D94/G94</f>
        <v>0.681818181818182</v>
      </c>
    </row>
    <row r="95" customFormat="false" ht="15" hidden="false" customHeight="false" outlineLevel="0" collapsed="false">
      <c r="A95" s="4" t="str">
        <f aca="false">'Employee Master'!A95</f>
        <v>EMP1090</v>
      </c>
      <c r="B95" s="4" t="str">
        <f aca="false">CONCATENATE('Employee Master'!B95," ",'Employee Master'!C95)</f>
        <v>Ananya Mehta</v>
      </c>
      <c r="C95" s="4" t="str">
        <f aca="false">'Employee Master'!D95</f>
        <v>Sales</v>
      </c>
      <c r="D95" s="4" t="n">
        <v>20</v>
      </c>
      <c r="E95" s="4" t="n">
        <v>1</v>
      </c>
      <c r="F95" s="4" t="n">
        <v>1</v>
      </c>
      <c r="G95" s="4" t="n">
        <v>22</v>
      </c>
      <c r="H95" s="7" t="n">
        <f aca="false">D95/G95</f>
        <v>0.909090909090909</v>
      </c>
    </row>
    <row r="96" customFormat="false" ht="15" hidden="false" customHeight="false" outlineLevel="0" collapsed="false">
      <c r="A96" s="4" t="str">
        <f aca="false">'Employee Master'!A96</f>
        <v>EMP1091</v>
      </c>
      <c r="B96" s="4" t="str">
        <f aca="false">CONCATENATE('Employee Master'!B96," ",'Employee Master'!C96)</f>
        <v>Riya Verma</v>
      </c>
      <c r="C96" s="4" t="str">
        <f aca="false">'Employee Master'!D96</f>
        <v>Sales</v>
      </c>
      <c r="D96" s="4" t="n">
        <v>18</v>
      </c>
      <c r="E96" s="4" t="n">
        <v>2</v>
      </c>
      <c r="F96" s="4" t="n">
        <v>2</v>
      </c>
      <c r="G96" s="4" t="n">
        <v>22</v>
      </c>
      <c r="H96" s="7" t="n">
        <f aca="false">D96/G96</f>
        <v>0.818181818181818</v>
      </c>
    </row>
    <row r="97" customFormat="false" ht="15" hidden="false" customHeight="false" outlineLevel="0" collapsed="false">
      <c r="A97" s="4" t="str">
        <f aca="false">'Employee Master'!A97</f>
        <v>EMP1092</v>
      </c>
      <c r="B97" s="4" t="str">
        <f aca="false">CONCATENATE('Employee Master'!B97," ",'Employee Master'!C97)</f>
        <v>Andrew Reddy</v>
      </c>
      <c r="C97" s="4" t="str">
        <f aca="false">'Employee Master'!D97</f>
        <v>Finance</v>
      </c>
      <c r="D97" s="4" t="n">
        <v>16</v>
      </c>
      <c r="E97" s="4" t="n">
        <v>3</v>
      </c>
      <c r="F97" s="4" t="n">
        <v>3</v>
      </c>
      <c r="G97" s="4" t="n">
        <v>22</v>
      </c>
      <c r="H97" s="7" t="n">
        <f aca="false">D97/G97</f>
        <v>0.727272727272727</v>
      </c>
    </row>
    <row r="98" customFormat="false" ht="15" hidden="false" customHeight="false" outlineLevel="0" collapsed="false">
      <c r="A98" s="4" t="str">
        <f aca="false">'Employee Master'!A98</f>
        <v>EMP1093</v>
      </c>
      <c r="B98" s="4" t="str">
        <f aca="false">CONCATENATE('Employee Master'!B98," ",'Employee Master'!C98)</f>
        <v>Ananya Chatterjee</v>
      </c>
      <c r="C98" s="4" t="str">
        <f aca="false">'Employee Master'!D98</f>
        <v>Marketing</v>
      </c>
      <c r="D98" s="4" t="n">
        <v>15</v>
      </c>
      <c r="E98" s="4" t="n">
        <v>0</v>
      </c>
      <c r="F98" s="4" t="n">
        <v>7</v>
      </c>
      <c r="G98" s="4" t="n">
        <v>22</v>
      </c>
      <c r="H98" s="7" t="n">
        <f aca="false">D98/G98</f>
        <v>0.681818181818182</v>
      </c>
    </row>
    <row r="99" customFormat="false" ht="15" hidden="false" customHeight="false" outlineLevel="0" collapsed="false">
      <c r="A99" s="4" t="str">
        <f aca="false">'Employee Master'!A99</f>
        <v>EMP1094</v>
      </c>
      <c r="B99" s="4" t="str">
        <f aca="false">CONCATENATE('Employee Master'!B99," ",'Employee Master'!C99)</f>
        <v>Navya Davis</v>
      </c>
      <c r="C99" s="4" t="str">
        <f aca="false">'Employee Master'!D99</f>
        <v>Finance</v>
      </c>
      <c r="D99" s="4" t="n">
        <v>15</v>
      </c>
      <c r="E99" s="4" t="n">
        <v>0</v>
      </c>
      <c r="F99" s="4" t="n">
        <v>7</v>
      </c>
      <c r="G99" s="4" t="n">
        <v>22</v>
      </c>
      <c r="H99" s="7" t="n">
        <f aca="false">D99/G99</f>
        <v>0.681818181818182</v>
      </c>
    </row>
    <row r="100" customFormat="false" ht="15" hidden="false" customHeight="false" outlineLevel="0" collapsed="false">
      <c r="A100" s="4" t="str">
        <f aca="false">'Employee Master'!A100</f>
        <v>EMP1095</v>
      </c>
      <c r="B100" s="4" t="str">
        <f aca="false">CONCATENATE('Employee Master'!B100," ",'Employee Master'!C100)</f>
        <v>Evelyn Kapoor</v>
      </c>
      <c r="C100" s="4" t="str">
        <f aca="false">'Employee Master'!D100</f>
        <v>Engineering</v>
      </c>
      <c r="D100" s="4" t="n">
        <v>20</v>
      </c>
      <c r="E100" s="4" t="n">
        <v>0</v>
      </c>
      <c r="F100" s="4" t="n">
        <v>2</v>
      </c>
      <c r="G100" s="4" t="n">
        <v>22</v>
      </c>
      <c r="H100" s="7" t="n">
        <f aca="false">D100/G100</f>
        <v>0.909090909090909</v>
      </c>
    </row>
    <row r="101" customFormat="false" ht="15" hidden="false" customHeight="false" outlineLevel="0" collapsed="false">
      <c r="A101" s="4" t="str">
        <f aca="false">'Employee Master'!A101</f>
        <v>EMP1096</v>
      </c>
      <c r="B101" s="4" t="str">
        <f aca="false">CONCATENATE('Employee Master'!B101," ",'Employee Master'!C101)</f>
        <v>Sofia Bose</v>
      </c>
      <c r="C101" s="4" t="str">
        <f aca="false">'Employee Master'!D101</f>
        <v>Sales</v>
      </c>
      <c r="D101" s="4" t="n">
        <v>19</v>
      </c>
      <c r="E101" s="4" t="n">
        <v>1</v>
      </c>
      <c r="F101" s="4" t="n">
        <v>2</v>
      </c>
      <c r="G101" s="4" t="n">
        <v>22</v>
      </c>
      <c r="H101" s="7" t="n">
        <f aca="false">D101/G101</f>
        <v>0.863636363636364</v>
      </c>
    </row>
    <row r="102" customFormat="false" ht="15" hidden="false" customHeight="false" outlineLevel="0" collapsed="false">
      <c r="A102" s="4" t="str">
        <f aca="false">'Employee Master'!A102</f>
        <v>EMP1097</v>
      </c>
      <c r="B102" s="4" t="str">
        <f aca="false">CONCATENATE('Employee Master'!B102," ",'Employee Master'!C102)</f>
        <v>Sai Miller</v>
      </c>
      <c r="C102" s="4" t="str">
        <f aca="false">'Employee Master'!D102</f>
        <v>Marketing</v>
      </c>
      <c r="D102" s="4" t="n">
        <v>22</v>
      </c>
      <c r="E102" s="4" t="n">
        <v>0</v>
      </c>
      <c r="F102" s="4" t="n">
        <v>0</v>
      </c>
      <c r="G102" s="4" t="n">
        <v>22</v>
      </c>
      <c r="H102" s="7" t="n">
        <f aca="false">D102/G102</f>
        <v>1</v>
      </c>
    </row>
    <row r="103" customFormat="false" ht="15" hidden="false" customHeight="false" outlineLevel="0" collapsed="false">
      <c r="A103" s="4" t="str">
        <f aca="false">'Employee Master'!A103</f>
        <v>EMP1098</v>
      </c>
      <c r="B103" s="4" t="str">
        <f aca="false">CONCATENATE('Employee Master'!B103," ",'Employee Master'!C103)</f>
        <v>John Brown</v>
      </c>
      <c r="C103" s="4" t="str">
        <f aca="false">'Employee Master'!D103</f>
        <v>Operations</v>
      </c>
      <c r="D103" s="4" t="n">
        <v>22</v>
      </c>
      <c r="E103" s="4" t="n">
        <v>0</v>
      </c>
      <c r="F103" s="4" t="n">
        <v>0</v>
      </c>
      <c r="G103" s="4" t="n">
        <v>22</v>
      </c>
      <c r="H103" s="7" t="n">
        <f aca="false">D103/G103</f>
        <v>1</v>
      </c>
    </row>
    <row r="104" customFormat="false" ht="15" hidden="false" customHeight="false" outlineLevel="0" collapsed="false">
      <c r="A104" s="4" t="str">
        <f aca="false">'Employee Master'!A104</f>
        <v>EMP1099</v>
      </c>
      <c r="B104" s="4" t="str">
        <f aca="false">CONCATENATE('Employee Master'!B104," ",'Employee Master'!C104)</f>
        <v>Sai Smith</v>
      </c>
      <c r="C104" s="4" t="str">
        <f aca="false">'Employee Master'!D104</f>
        <v>Marketing</v>
      </c>
      <c r="D104" s="4" t="n">
        <v>15</v>
      </c>
      <c r="E104" s="4" t="n">
        <v>3</v>
      </c>
      <c r="F104" s="4" t="n">
        <v>4</v>
      </c>
      <c r="G104" s="4" t="n">
        <v>22</v>
      </c>
      <c r="H104" s="7" t="n">
        <f aca="false">D104/G104</f>
        <v>0.681818181818182</v>
      </c>
    </row>
    <row r="105" customFormat="false" ht="15" hidden="false" customHeight="false" outlineLevel="0" collapsed="false">
      <c r="A105" s="4" t="str">
        <f aca="false">'Employee Master'!A105</f>
        <v>EMP1100</v>
      </c>
      <c r="B105" s="4" t="str">
        <f aca="false">CONCATENATE('Employee Master'!B105," ",'Employee Master'!C105)</f>
        <v>Hiro Roy</v>
      </c>
      <c r="C105" s="4" t="str">
        <f aca="false">'Employee Master'!D105</f>
        <v>Finance</v>
      </c>
      <c r="D105" s="4" t="n">
        <v>19</v>
      </c>
      <c r="E105" s="4" t="n">
        <v>3</v>
      </c>
      <c r="F105" s="4" t="n">
        <v>0</v>
      </c>
      <c r="G105" s="4" t="n">
        <v>22</v>
      </c>
      <c r="H105" s="7" t="n">
        <f aca="false">D105/G105</f>
        <v>0.863636363636364</v>
      </c>
    </row>
    <row r="106" customFormat="false" ht="15" hidden="false" customHeight="false" outlineLevel="0" collapsed="false">
      <c r="A106" s="4" t="str">
        <f aca="false">'Employee Master'!A106</f>
        <v>EMP1101</v>
      </c>
      <c r="B106" s="4" t="str">
        <f aca="false">CONCATENATE('Employee Master'!B106," ",'Employee Master'!C106)</f>
        <v>Wei Jones</v>
      </c>
      <c r="C106" s="4" t="str">
        <f aca="false">'Employee Master'!D106</f>
        <v>Engineering</v>
      </c>
      <c r="D106" s="4" t="n">
        <v>14</v>
      </c>
      <c r="E106" s="4" t="n">
        <v>2</v>
      </c>
      <c r="F106" s="4" t="n">
        <v>6</v>
      </c>
      <c r="G106" s="4" t="n">
        <v>22</v>
      </c>
      <c r="H106" s="7" t="n">
        <f aca="false">D106/G106</f>
        <v>0.636363636363636</v>
      </c>
    </row>
    <row r="107" customFormat="false" ht="15" hidden="false" customHeight="false" outlineLevel="0" collapsed="false">
      <c r="A107" s="4" t="str">
        <f aca="false">'Employee Master'!A107</f>
        <v>EMP1102</v>
      </c>
      <c r="B107" s="4" t="str">
        <f aca="false">CONCATENATE('Employee Master'!B107," ",'Employee Master'!C107)</f>
        <v>Krishna Sharma</v>
      </c>
      <c r="C107" s="4" t="str">
        <f aca="false">'Employee Master'!D107</f>
        <v>Operations</v>
      </c>
      <c r="D107" s="4" t="n">
        <v>18</v>
      </c>
      <c r="E107" s="4" t="n">
        <v>2</v>
      </c>
      <c r="F107" s="4" t="n">
        <v>2</v>
      </c>
      <c r="G107" s="4" t="n">
        <v>22</v>
      </c>
      <c r="H107" s="7" t="n">
        <f aca="false">D107/G107</f>
        <v>0.818181818181818</v>
      </c>
    </row>
    <row r="108" customFormat="false" ht="15" hidden="false" customHeight="false" outlineLevel="0" collapsed="false">
      <c r="A108" s="4" t="str">
        <f aca="false">'Employee Master'!A108</f>
        <v>EMP1103</v>
      </c>
      <c r="B108" s="4" t="str">
        <f aca="false">CONCATENATE('Employee Master'!B108," ",'Employee Master'!C108)</f>
        <v>Sai Mehta</v>
      </c>
      <c r="C108" s="4" t="str">
        <f aca="false">'Employee Master'!D108</f>
        <v>Engineering</v>
      </c>
      <c r="D108" s="4" t="n">
        <v>15</v>
      </c>
      <c r="E108" s="4" t="n">
        <v>1</v>
      </c>
      <c r="F108" s="4" t="n">
        <v>6</v>
      </c>
      <c r="G108" s="4" t="n">
        <v>22</v>
      </c>
      <c r="H108" s="7" t="n">
        <f aca="false">D108/G108</f>
        <v>0.681818181818182</v>
      </c>
    </row>
    <row r="109" customFormat="false" ht="15" hidden="false" customHeight="false" outlineLevel="0" collapsed="false">
      <c r="A109" s="4" t="str">
        <f aca="false">'Employee Master'!A109</f>
        <v>EMP1104</v>
      </c>
      <c r="B109" s="4" t="str">
        <f aca="false">CONCATENATE('Employee Master'!B109," ",'Employee Master'!C109)</f>
        <v>Matthew Das</v>
      </c>
      <c r="C109" s="4" t="str">
        <f aca="false">'Employee Master'!D109</f>
        <v>HR</v>
      </c>
      <c r="D109" s="4" t="n">
        <v>16</v>
      </c>
      <c r="E109" s="4" t="n">
        <v>3</v>
      </c>
      <c r="F109" s="4" t="n">
        <v>3</v>
      </c>
      <c r="G109" s="4" t="n">
        <v>22</v>
      </c>
      <c r="H109" s="7" t="n">
        <f aca="false">D109/G109</f>
        <v>0.727272727272727</v>
      </c>
    </row>
    <row r="110" customFormat="false" ht="15" hidden="false" customHeight="false" outlineLevel="0" collapsed="false">
      <c r="A110" s="4" t="str">
        <f aca="false">'Employee Master'!A110</f>
        <v>EMP1105</v>
      </c>
      <c r="B110" s="4" t="str">
        <f aca="false">CONCATENATE('Employee Master'!B110," ",'Employee Master'!C110)</f>
        <v>Evelyn Davis</v>
      </c>
      <c r="C110" s="4" t="str">
        <f aca="false">'Employee Master'!D110</f>
        <v>Operations</v>
      </c>
      <c r="D110" s="4" t="n">
        <v>17</v>
      </c>
      <c r="E110" s="4" t="n">
        <v>0</v>
      </c>
      <c r="F110" s="4" t="n">
        <v>5</v>
      </c>
      <c r="G110" s="4" t="n">
        <v>22</v>
      </c>
      <c r="H110" s="7" t="n">
        <f aca="false">D110/G110</f>
        <v>0.772727272727273</v>
      </c>
    </row>
    <row r="111" customFormat="false" ht="15" hidden="false" customHeight="false" outlineLevel="0" collapsed="false">
      <c r="A111" s="4" t="str">
        <f aca="false">'Employee Master'!A111</f>
        <v>EMP1106</v>
      </c>
      <c r="B111" s="4" t="str">
        <f aca="false">CONCATENATE('Employee Master'!B111," ",'Employee Master'!C111)</f>
        <v>Navya Das</v>
      </c>
      <c r="C111" s="4" t="str">
        <f aca="false">'Employee Master'!D111</f>
        <v>Engineering</v>
      </c>
      <c r="D111" s="4" t="n">
        <v>19</v>
      </c>
      <c r="E111" s="4" t="n">
        <v>2</v>
      </c>
      <c r="F111" s="4" t="n">
        <v>1</v>
      </c>
      <c r="G111" s="4" t="n">
        <v>22</v>
      </c>
      <c r="H111" s="7" t="n">
        <f aca="false">D111/G111</f>
        <v>0.863636363636364</v>
      </c>
    </row>
    <row r="112" customFormat="false" ht="15" hidden="false" customHeight="false" outlineLevel="0" collapsed="false">
      <c r="A112" s="4" t="str">
        <f aca="false">'Employee Master'!A112</f>
        <v>EMP1107</v>
      </c>
      <c r="B112" s="4" t="str">
        <f aca="false">CONCATENATE('Employee Master'!B112," ",'Employee Master'!C112)</f>
        <v>Robert Smith</v>
      </c>
      <c r="C112" s="4" t="str">
        <f aca="false">'Employee Master'!D112</f>
        <v>Finance</v>
      </c>
      <c r="D112" s="4" t="n">
        <v>15</v>
      </c>
      <c r="E112" s="4" t="n">
        <v>2</v>
      </c>
      <c r="F112" s="4" t="n">
        <v>5</v>
      </c>
      <c r="G112" s="4" t="n">
        <v>22</v>
      </c>
      <c r="H112" s="7" t="n">
        <f aca="false">D112/G112</f>
        <v>0.681818181818182</v>
      </c>
    </row>
    <row r="113" customFormat="false" ht="15" hidden="false" customHeight="false" outlineLevel="0" collapsed="false">
      <c r="A113" s="4" t="str">
        <f aca="false">'Employee Master'!A113</f>
        <v>EMP1108</v>
      </c>
      <c r="B113" s="4" t="str">
        <f aca="false">CONCATENATE('Employee Master'!B113," ",'Employee Master'!C113)</f>
        <v>Amelia Williams</v>
      </c>
      <c r="C113" s="4" t="str">
        <f aca="false">'Employee Master'!D113</f>
        <v>Sales</v>
      </c>
      <c r="D113" s="4" t="n">
        <v>17</v>
      </c>
      <c r="E113" s="4" t="n">
        <v>3</v>
      </c>
      <c r="F113" s="4" t="n">
        <v>2</v>
      </c>
      <c r="G113" s="4" t="n">
        <v>22</v>
      </c>
      <c r="H113" s="7" t="n">
        <f aca="false">D113/G113</f>
        <v>0.772727272727273</v>
      </c>
    </row>
    <row r="114" customFormat="false" ht="15" hidden="false" customHeight="false" outlineLevel="0" collapsed="false">
      <c r="A114" s="4" t="str">
        <f aca="false">'Employee Master'!A114</f>
        <v>EMP1109</v>
      </c>
      <c r="B114" s="4" t="str">
        <f aca="false">CONCATENATE('Employee Master'!B114," ",'Employee Master'!C114)</f>
        <v>David Shah</v>
      </c>
      <c r="C114" s="4" t="str">
        <f aca="false">'Employee Master'!D114</f>
        <v>Operations</v>
      </c>
      <c r="D114" s="4" t="n">
        <v>22</v>
      </c>
      <c r="E114" s="4" t="n">
        <v>0</v>
      </c>
      <c r="F114" s="4" t="n">
        <v>0</v>
      </c>
      <c r="G114" s="4" t="n">
        <v>22</v>
      </c>
      <c r="H114" s="7" t="n">
        <f aca="false">D114/G114</f>
        <v>1</v>
      </c>
    </row>
    <row r="115" customFormat="false" ht="15" hidden="false" customHeight="false" outlineLevel="0" collapsed="false">
      <c r="A115" s="4" t="str">
        <f aca="false">'Employee Master'!A115</f>
        <v>EMP1110</v>
      </c>
      <c r="B115" s="4" t="str">
        <f aca="false">CONCATENATE('Employee Master'!B115," ",'Employee Master'!C115)</f>
        <v>Reyansh Roy</v>
      </c>
      <c r="C115" s="4" t="str">
        <f aca="false">'Employee Master'!D115</f>
        <v>HR</v>
      </c>
      <c r="D115" s="4" t="n">
        <v>18</v>
      </c>
      <c r="E115" s="4" t="n">
        <v>0</v>
      </c>
      <c r="F115" s="4" t="n">
        <v>4</v>
      </c>
      <c r="G115" s="4" t="n">
        <v>22</v>
      </c>
      <c r="H115" s="7" t="n">
        <f aca="false">D115/G115</f>
        <v>0.818181818181818</v>
      </c>
    </row>
    <row r="116" customFormat="false" ht="15" hidden="false" customHeight="false" outlineLevel="0" collapsed="false">
      <c r="A116" s="4" t="str">
        <f aca="false">'Employee Master'!A116</f>
        <v>EMP1111</v>
      </c>
      <c r="B116" s="4" t="str">
        <f aca="false">CONCATENATE('Employee Master'!B116," ",'Employee Master'!C116)</f>
        <v>Arjun Miller</v>
      </c>
      <c r="C116" s="4" t="str">
        <f aca="false">'Employee Master'!D116</f>
        <v>Marketing</v>
      </c>
      <c r="D116" s="4" t="n">
        <v>16</v>
      </c>
      <c r="E116" s="4" t="n">
        <v>2</v>
      </c>
      <c r="F116" s="4" t="n">
        <v>4</v>
      </c>
      <c r="G116" s="4" t="n">
        <v>22</v>
      </c>
      <c r="H116" s="7" t="n">
        <f aca="false">D116/G116</f>
        <v>0.727272727272727</v>
      </c>
    </row>
    <row r="117" customFormat="false" ht="15" hidden="false" customHeight="false" outlineLevel="0" collapsed="false">
      <c r="A117" s="4" t="str">
        <f aca="false">'Employee Master'!A117</f>
        <v>EMP1112</v>
      </c>
      <c r="B117" s="4" t="str">
        <f aca="false">CONCATENATE('Employee Master'!B117," ",'Employee Master'!C117)</f>
        <v>James Patel</v>
      </c>
      <c r="C117" s="4" t="str">
        <f aca="false">'Employee Master'!D117</f>
        <v>Operations</v>
      </c>
      <c r="D117" s="4" t="n">
        <v>18</v>
      </c>
      <c r="E117" s="4" t="n">
        <v>2</v>
      </c>
      <c r="F117" s="4" t="n">
        <v>2</v>
      </c>
      <c r="G117" s="4" t="n">
        <v>22</v>
      </c>
      <c r="H117" s="7" t="n">
        <f aca="false">D117/G117</f>
        <v>0.818181818181818</v>
      </c>
    </row>
    <row r="118" customFormat="false" ht="15" hidden="false" customHeight="false" outlineLevel="0" collapsed="false">
      <c r="A118" s="4" t="str">
        <f aca="false">'Employee Master'!A118</f>
        <v>EMP1113</v>
      </c>
      <c r="B118" s="4" t="str">
        <f aca="false">CONCATENATE('Employee Master'!B118," ",'Employee Master'!C118)</f>
        <v>Andrew Reddy</v>
      </c>
      <c r="C118" s="4" t="str">
        <f aca="false">'Employee Master'!D118</f>
        <v>Operations</v>
      </c>
      <c r="D118" s="4" t="n">
        <v>19</v>
      </c>
      <c r="E118" s="4" t="n">
        <v>0</v>
      </c>
      <c r="F118" s="4" t="n">
        <v>3</v>
      </c>
      <c r="G118" s="4" t="n">
        <v>22</v>
      </c>
      <c r="H118" s="7" t="n">
        <f aca="false">D118/G118</f>
        <v>0.863636363636364</v>
      </c>
    </row>
    <row r="119" customFormat="false" ht="15" hidden="false" customHeight="false" outlineLevel="0" collapsed="false">
      <c r="A119" s="4" t="str">
        <f aca="false">'Employee Master'!A119</f>
        <v>EMP1114</v>
      </c>
      <c r="B119" s="4" t="str">
        <f aca="false">CONCATENATE('Employee Master'!B119," ",'Employee Master'!C119)</f>
        <v>James Chatterjee</v>
      </c>
      <c r="C119" s="4" t="str">
        <f aca="false">'Employee Master'!D119</f>
        <v>Engineering</v>
      </c>
      <c r="D119" s="4" t="n">
        <v>16</v>
      </c>
      <c r="E119" s="4" t="n">
        <v>1</v>
      </c>
      <c r="F119" s="4" t="n">
        <v>5</v>
      </c>
      <c r="G119" s="4" t="n">
        <v>22</v>
      </c>
      <c r="H119" s="7" t="n">
        <f aca="false">D119/G119</f>
        <v>0.727272727272727</v>
      </c>
    </row>
    <row r="120" customFormat="false" ht="15" hidden="false" customHeight="false" outlineLevel="0" collapsed="false">
      <c r="A120" s="4" t="str">
        <f aca="false">'Employee Master'!A120</f>
        <v>EMP1115</v>
      </c>
      <c r="B120" s="4" t="str">
        <f aca="false">CONCATENATE('Employee Master'!B120," ",'Employee Master'!C120)</f>
        <v>Matthew Wilson</v>
      </c>
      <c r="C120" s="4" t="str">
        <f aca="false">'Employee Master'!D120</f>
        <v>Operations</v>
      </c>
      <c r="D120" s="4" t="n">
        <v>20</v>
      </c>
      <c r="E120" s="4" t="n">
        <v>0</v>
      </c>
      <c r="F120" s="4" t="n">
        <v>2</v>
      </c>
      <c r="G120" s="4" t="n">
        <v>22</v>
      </c>
      <c r="H120" s="7" t="n">
        <f aca="false">D120/G120</f>
        <v>0.909090909090909</v>
      </c>
    </row>
    <row r="121" customFormat="false" ht="15" hidden="false" customHeight="false" outlineLevel="0" collapsed="false">
      <c r="A121" s="4" t="str">
        <f aca="false">'Employee Master'!A121</f>
        <v>EMP1116</v>
      </c>
      <c r="B121" s="4" t="str">
        <f aca="false">CONCATENATE('Employee Master'!B121," ",'Employee Master'!C121)</f>
        <v>Olivia Mukherjee</v>
      </c>
      <c r="C121" s="4" t="str">
        <f aca="false">'Employee Master'!D121</f>
        <v>Finance</v>
      </c>
      <c r="D121" s="4" t="n">
        <v>16</v>
      </c>
      <c r="E121" s="4" t="n">
        <v>0</v>
      </c>
      <c r="F121" s="4" t="n">
        <v>6</v>
      </c>
      <c r="G121" s="4" t="n">
        <v>22</v>
      </c>
      <c r="H121" s="7" t="n">
        <f aca="false">D121/G121</f>
        <v>0.727272727272727</v>
      </c>
    </row>
    <row r="122" customFormat="false" ht="15" hidden="false" customHeight="false" outlineLevel="0" collapsed="false">
      <c r="A122" s="4" t="str">
        <f aca="false">'Employee Master'!A122</f>
        <v>EMP1117</v>
      </c>
      <c r="B122" s="4" t="str">
        <f aca="false">CONCATENATE('Employee Master'!B122," ",'Employee Master'!C122)</f>
        <v>Hiro Sharma</v>
      </c>
      <c r="C122" s="4" t="str">
        <f aca="false">'Employee Master'!D122</f>
        <v>HR</v>
      </c>
      <c r="D122" s="4" t="n">
        <v>15</v>
      </c>
      <c r="E122" s="4" t="n">
        <v>1</v>
      </c>
      <c r="F122" s="4" t="n">
        <v>6</v>
      </c>
      <c r="G122" s="4" t="n">
        <v>22</v>
      </c>
      <c r="H122" s="7" t="n">
        <f aca="false">D122/G122</f>
        <v>0.681818181818182</v>
      </c>
    </row>
    <row r="123" customFormat="false" ht="15" hidden="false" customHeight="false" outlineLevel="0" collapsed="false">
      <c r="A123" s="4" t="str">
        <f aca="false">'Employee Master'!A123</f>
        <v>EMP1118</v>
      </c>
      <c r="B123" s="4" t="str">
        <f aca="false">CONCATENATE('Employee Master'!B123," ",'Employee Master'!C123)</f>
        <v>Wei Brown</v>
      </c>
      <c r="C123" s="4" t="str">
        <f aca="false">'Employee Master'!D123</f>
        <v>Operations</v>
      </c>
      <c r="D123" s="4" t="n">
        <v>20</v>
      </c>
      <c r="E123" s="4" t="n">
        <v>1</v>
      </c>
      <c r="F123" s="4" t="n">
        <v>1</v>
      </c>
      <c r="G123" s="4" t="n">
        <v>22</v>
      </c>
      <c r="H123" s="7" t="n">
        <f aca="false">D123/G123</f>
        <v>0.909090909090909</v>
      </c>
    </row>
    <row r="124" customFormat="false" ht="15" hidden="false" customHeight="false" outlineLevel="0" collapsed="false">
      <c r="A124" s="4" t="str">
        <f aca="false">'Employee Master'!A124</f>
        <v>EMP1119</v>
      </c>
      <c r="B124" s="4" t="str">
        <f aca="false">CONCATENATE('Employee Master'!B124," ",'Employee Master'!C124)</f>
        <v>Reyansh Mehta</v>
      </c>
      <c r="C124" s="4" t="str">
        <f aca="false">'Employee Master'!D124</f>
        <v>HR</v>
      </c>
      <c r="D124" s="4" t="n">
        <v>21</v>
      </c>
      <c r="E124" s="4" t="n">
        <v>1</v>
      </c>
      <c r="F124" s="4" t="n">
        <v>0</v>
      </c>
      <c r="G124" s="4" t="n">
        <v>22</v>
      </c>
      <c r="H124" s="7" t="n">
        <f aca="false">D124/G124</f>
        <v>0.954545454545455</v>
      </c>
    </row>
  </sheetData>
  <autoFilter ref="A4:H124"/>
  <conditionalFormatting sqref="H5:H1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3"/>
    <col collapsed="false" customWidth="true" hidden="false" outlineLevel="0" max="13" min="13" style="0" width="20"/>
    <col collapsed="false" customWidth="true" hidden="false" outlineLevel="0" max="14" min="14" style="0" width="10"/>
  </cols>
  <sheetData>
    <row r="1" customFormat="false" ht="19.7" hidden="false" customHeight="false" outlineLevel="0" collapsed="false">
      <c r="A1" s="1" t="s">
        <v>258</v>
      </c>
    </row>
    <row r="2" customFormat="false" ht="15" hidden="false" customHeight="false" outlineLevel="0" collapsed="false">
      <c r="A2" s="2" t="s">
        <v>259</v>
      </c>
    </row>
    <row r="4" customFormat="false" ht="39.55" hidden="false" customHeight="false" outlineLevel="0" collapsed="false">
      <c r="A4" s="3" t="s">
        <v>2</v>
      </c>
      <c r="B4" s="3" t="s">
        <v>252</v>
      </c>
      <c r="C4" s="3" t="s">
        <v>5</v>
      </c>
      <c r="D4" s="3" t="s">
        <v>260</v>
      </c>
      <c r="E4" s="3" t="s">
        <v>261</v>
      </c>
      <c r="F4" s="3" t="s">
        <v>262</v>
      </c>
      <c r="G4" s="3" t="s">
        <v>263</v>
      </c>
      <c r="H4" s="3" t="s">
        <v>264</v>
      </c>
      <c r="I4" s="3" t="s">
        <v>265</v>
      </c>
      <c r="J4" s="3" t="s">
        <v>266</v>
      </c>
      <c r="K4" s="3" t="s">
        <v>267</v>
      </c>
      <c r="M4" s="8" t="s">
        <v>268</v>
      </c>
    </row>
    <row r="5" customFormat="false" ht="15" hidden="false" customHeight="false" outlineLevel="0" collapsed="false">
      <c r="A5" s="4" t="str">
        <f aca="false">'Employee Master'!A5</f>
        <v>EMP1000</v>
      </c>
      <c r="B5" s="4" t="str">
        <f aca="false">CONCATENATE('Employee Master'!B5," ",'Employee Master'!C5)</f>
        <v>Wei Reddy</v>
      </c>
      <c r="C5" s="4" t="str">
        <f aca="false">'Employee Master'!D5</f>
        <v>Engineering</v>
      </c>
      <c r="D5" s="6" t="n">
        <f aca="false">'Employee Master'!L5</f>
        <v>22330</v>
      </c>
      <c r="E5" s="6" t="n">
        <f aca="false">'Employee Master'!M5</f>
        <v>8930</v>
      </c>
      <c r="F5" s="6" t="n">
        <f aca="false">$N$5</f>
        <v>1600</v>
      </c>
      <c r="G5" s="6" t="n">
        <f aca="false">D5+E5+F5</f>
        <v>32860</v>
      </c>
      <c r="H5" s="6" t="n">
        <f aca="false">MIN(D5*$N$6,$N$7)</f>
        <v>1800</v>
      </c>
      <c r="I5" s="6" t="n">
        <f aca="false">$N$8</f>
        <v>200</v>
      </c>
      <c r="J5" s="6" t="n">
        <f aca="false">H5+I5</f>
        <v>2000</v>
      </c>
      <c r="K5" s="6" t="n">
        <f aca="false">G5-J5</f>
        <v>30860</v>
      </c>
      <c r="M5" s="9" t="s">
        <v>269</v>
      </c>
      <c r="N5" s="10" t="n">
        <v>1600</v>
      </c>
    </row>
    <row r="6" customFormat="false" ht="15" hidden="false" customHeight="false" outlineLevel="0" collapsed="false">
      <c r="A6" s="4" t="str">
        <f aca="false">'Employee Master'!A6</f>
        <v>EMP1001</v>
      </c>
      <c r="B6" s="4" t="str">
        <f aca="false">CONCATENATE('Employee Master'!B6," ",'Employee Master'!C6)</f>
        <v>Harper Brown</v>
      </c>
      <c r="C6" s="4" t="str">
        <f aca="false">'Employee Master'!D6</f>
        <v>Engineering</v>
      </c>
      <c r="D6" s="6" t="n">
        <f aca="false">'Employee Master'!L6</f>
        <v>17000</v>
      </c>
      <c r="E6" s="6" t="n">
        <f aca="false">'Employee Master'!M6</f>
        <v>6800</v>
      </c>
      <c r="F6" s="6" t="n">
        <f aca="false">$N$5</f>
        <v>1600</v>
      </c>
      <c r="G6" s="6" t="n">
        <f aca="false">D6+E6+F6</f>
        <v>25400</v>
      </c>
      <c r="H6" s="6" t="n">
        <f aca="false">MIN(D6*$N$6,$N$7)</f>
        <v>1800</v>
      </c>
      <c r="I6" s="6" t="n">
        <f aca="false">$N$8</f>
        <v>200</v>
      </c>
      <c r="J6" s="6" t="n">
        <f aca="false">H6+I6</f>
        <v>2000</v>
      </c>
      <c r="K6" s="6" t="n">
        <f aca="false">G6-J6</f>
        <v>23400</v>
      </c>
      <c r="M6" s="9" t="s">
        <v>270</v>
      </c>
      <c r="N6" s="11" t="n">
        <v>0.12</v>
      </c>
    </row>
    <row r="7" customFormat="false" ht="15" hidden="false" customHeight="false" outlineLevel="0" collapsed="false">
      <c r="A7" s="4" t="str">
        <f aca="false">'Employee Master'!A7</f>
        <v>EMP1002</v>
      </c>
      <c r="B7" s="4" t="str">
        <f aca="false">CONCATENATE('Employee Master'!B7," ",'Employee Master'!C7)</f>
        <v>Charlotte Rao</v>
      </c>
      <c r="C7" s="4" t="str">
        <f aca="false">'Employee Master'!D7</f>
        <v>Operations</v>
      </c>
      <c r="D7" s="6" t="n">
        <f aca="false">'Employee Master'!L7</f>
        <v>15330</v>
      </c>
      <c r="E7" s="6" t="n">
        <f aca="false">'Employee Master'!M7</f>
        <v>6130</v>
      </c>
      <c r="F7" s="6" t="n">
        <f aca="false">$N$5</f>
        <v>1600</v>
      </c>
      <c r="G7" s="6" t="n">
        <f aca="false">D7+E7+F7</f>
        <v>23060</v>
      </c>
      <c r="H7" s="6" t="n">
        <f aca="false">MIN(D7*$N$6,$N$7)</f>
        <v>1800</v>
      </c>
      <c r="I7" s="6" t="n">
        <f aca="false">$N$8</f>
        <v>200</v>
      </c>
      <c r="J7" s="6" t="n">
        <f aca="false">H7+I7</f>
        <v>2000</v>
      </c>
      <c r="K7" s="6" t="n">
        <f aca="false">G7-J7</f>
        <v>21060</v>
      </c>
      <c r="M7" s="9" t="s">
        <v>271</v>
      </c>
      <c r="N7" s="10" t="n">
        <v>1800</v>
      </c>
    </row>
    <row r="8" customFormat="false" ht="15" hidden="false" customHeight="false" outlineLevel="0" collapsed="false">
      <c r="A8" s="4" t="str">
        <f aca="false">'Employee Master'!A8</f>
        <v>EMP1003</v>
      </c>
      <c r="B8" s="4" t="str">
        <f aca="false">CONCATENATE('Employee Master'!B8," ",'Employee Master'!C8)</f>
        <v>Sofia Chatterjee</v>
      </c>
      <c r="C8" s="4" t="str">
        <f aca="false">'Employee Master'!D8</f>
        <v>Sales</v>
      </c>
      <c r="D8" s="6" t="n">
        <f aca="false">'Employee Master'!L8</f>
        <v>43670</v>
      </c>
      <c r="E8" s="6" t="n">
        <f aca="false">'Employee Master'!M8</f>
        <v>17470</v>
      </c>
      <c r="F8" s="6" t="n">
        <f aca="false">$N$5</f>
        <v>1600</v>
      </c>
      <c r="G8" s="6" t="n">
        <f aca="false">D8+E8+F8</f>
        <v>62740</v>
      </c>
      <c r="H8" s="6" t="n">
        <f aca="false">MIN(D8*$N$6,$N$7)</f>
        <v>1800</v>
      </c>
      <c r="I8" s="6" t="n">
        <f aca="false">$N$8</f>
        <v>200</v>
      </c>
      <c r="J8" s="6" t="n">
        <f aca="false">H8+I8</f>
        <v>2000</v>
      </c>
      <c r="K8" s="6" t="n">
        <f aca="false">G8-J8</f>
        <v>60740</v>
      </c>
      <c r="M8" s="9" t="s">
        <v>272</v>
      </c>
      <c r="N8" s="10" t="n">
        <v>200</v>
      </c>
    </row>
    <row r="9" customFormat="false" ht="15" hidden="false" customHeight="false" outlineLevel="0" collapsed="false">
      <c r="A9" s="4" t="str">
        <f aca="false">'Employee Master'!A9</f>
        <v>EMP1004</v>
      </c>
      <c r="B9" s="4" t="str">
        <f aca="false">CONCATENATE('Employee Master'!B9," ",'Employee Master'!C9)</f>
        <v>Reyansh Gupta</v>
      </c>
      <c r="C9" s="4" t="str">
        <f aca="false">'Employee Master'!D9</f>
        <v>HR</v>
      </c>
      <c r="D9" s="6" t="n">
        <f aca="false">'Employee Master'!L9</f>
        <v>18670</v>
      </c>
      <c r="E9" s="6" t="n">
        <f aca="false">'Employee Master'!M9</f>
        <v>7470</v>
      </c>
      <c r="F9" s="6" t="n">
        <f aca="false">$N$5</f>
        <v>1600</v>
      </c>
      <c r="G9" s="6" t="n">
        <f aca="false">D9+E9+F9</f>
        <v>27740</v>
      </c>
      <c r="H9" s="6" t="n">
        <f aca="false">MIN(D9*$N$6,$N$7)</f>
        <v>1800</v>
      </c>
      <c r="I9" s="6" t="n">
        <f aca="false">$N$8</f>
        <v>200</v>
      </c>
      <c r="J9" s="6" t="n">
        <f aca="false">H9+I9</f>
        <v>2000</v>
      </c>
      <c r="K9" s="6" t="n">
        <f aca="false">G9-J9</f>
        <v>25740</v>
      </c>
    </row>
    <row r="10" customFormat="false" ht="15" hidden="false" customHeight="false" outlineLevel="0" collapsed="false">
      <c r="A10" s="4" t="str">
        <f aca="false">'Employee Master'!A10</f>
        <v>EMP1005</v>
      </c>
      <c r="B10" s="4" t="str">
        <f aca="false">CONCATENATE('Employee Master'!B10," ",'Employee Master'!C10)</f>
        <v>Min Jones</v>
      </c>
      <c r="C10" s="4" t="str">
        <f aca="false">'Employee Master'!D10</f>
        <v>Finance</v>
      </c>
      <c r="D10" s="6" t="n">
        <f aca="false">'Employee Master'!L10</f>
        <v>45670</v>
      </c>
      <c r="E10" s="6" t="n">
        <f aca="false">'Employee Master'!M10</f>
        <v>18270</v>
      </c>
      <c r="F10" s="6" t="n">
        <f aca="false">$N$5</f>
        <v>1600</v>
      </c>
      <c r="G10" s="6" t="n">
        <f aca="false">D10+E10+F10</f>
        <v>65540</v>
      </c>
      <c r="H10" s="6" t="n">
        <f aca="false">MIN(D10*$N$6,$N$7)</f>
        <v>1800</v>
      </c>
      <c r="I10" s="6" t="n">
        <f aca="false">$N$8</f>
        <v>200</v>
      </c>
      <c r="J10" s="6" t="n">
        <f aca="false">H10+I10</f>
        <v>2000</v>
      </c>
      <c r="K10" s="6" t="n">
        <f aca="false">G10-J10</f>
        <v>63540</v>
      </c>
    </row>
    <row r="11" customFormat="false" ht="15" hidden="false" customHeight="false" outlineLevel="0" collapsed="false">
      <c r="A11" s="4" t="str">
        <f aca="false">'Employee Master'!A11</f>
        <v>EMP1006</v>
      </c>
      <c r="B11" s="4" t="str">
        <f aca="false">CONCATENATE('Employee Master'!B11," ",'Employee Master'!C11)</f>
        <v>Amelia Rao</v>
      </c>
      <c r="C11" s="4" t="str">
        <f aca="false">'Employee Master'!D11</f>
        <v>Operations</v>
      </c>
      <c r="D11" s="6" t="n">
        <f aca="false">'Employee Master'!L11</f>
        <v>34670</v>
      </c>
      <c r="E11" s="6" t="n">
        <f aca="false">'Employee Master'!M11</f>
        <v>13870</v>
      </c>
      <c r="F11" s="6" t="n">
        <f aca="false">$N$5</f>
        <v>1600</v>
      </c>
      <c r="G11" s="6" t="n">
        <f aca="false">D11+E11+F11</f>
        <v>50140</v>
      </c>
      <c r="H11" s="6" t="n">
        <f aca="false">MIN(D11*$N$6,$N$7)</f>
        <v>1800</v>
      </c>
      <c r="I11" s="6" t="n">
        <f aca="false">$N$8</f>
        <v>200</v>
      </c>
      <c r="J11" s="6" t="n">
        <f aca="false">H11+I11</f>
        <v>2000</v>
      </c>
      <c r="K11" s="6" t="n">
        <f aca="false">G11-J11</f>
        <v>48140</v>
      </c>
    </row>
    <row r="12" customFormat="false" ht="15" hidden="false" customHeight="false" outlineLevel="0" collapsed="false">
      <c r="A12" s="4" t="str">
        <f aca="false">'Employee Master'!A12</f>
        <v>EMP1007</v>
      </c>
      <c r="B12" s="4" t="str">
        <f aca="false">CONCATENATE('Employee Master'!B12," ",'Employee Master'!C12)</f>
        <v>Reyansh Williams</v>
      </c>
      <c r="C12" s="4" t="str">
        <f aca="false">'Employee Master'!D12</f>
        <v>Marketing</v>
      </c>
      <c r="D12" s="6" t="n">
        <f aca="false">'Employee Master'!L12</f>
        <v>37670</v>
      </c>
      <c r="E12" s="6" t="n">
        <f aca="false">'Employee Master'!M12</f>
        <v>15070</v>
      </c>
      <c r="F12" s="6" t="n">
        <f aca="false">$N$5</f>
        <v>1600</v>
      </c>
      <c r="G12" s="6" t="n">
        <f aca="false">D12+E12+F12</f>
        <v>54340</v>
      </c>
      <c r="H12" s="6" t="n">
        <f aca="false">MIN(D12*$N$6,$N$7)</f>
        <v>1800</v>
      </c>
      <c r="I12" s="6" t="n">
        <f aca="false">$N$8</f>
        <v>200</v>
      </c>
      <c r="J12" s="6" t="n">
        <f aca="false">H12+I12</f>
        <v>2000</v>
      </c>
      <c r="K12" s="6" t="n">
        <f aca="false">G12-J12</f>
        <v>52340</v>
      </c>
    </row>
    <row r="13" customFormat="false" ht="15" hidden="false" customHeight="false" outlineLevel="0" collapsed="false">
      <c r="A13" s="4" t="str">
        <f aca="false">'Employee Master'!A13</f>
        <v>EMP1008</v>
      </c>
      <c r="B13" s="4" t="str">
        <f aca="false">CONCATENATE('Employee Master'!B13," ",'Employee Master'!C13)</f>
        <v>Chen Mukherjee</v>
      </c>
      <c r="C13" s="4" t="str">
        <f aca="false">'Employee Master'!D13</f>
        <v>Operations</v>
      </c>
      <c r="D13" s="6" t="n">
        <f aca="false">'Employee Master'!L13</f>
        <v>54330</v>
      </c>
      <c r="E13" s="6" t="n">
        <f aca="false">'Employee Master'!M13</f>
        <v>21730</v>
      </c>
      <c r="F13" s="6" t="n">
        <f aca="false">$N$5</f>
        <v>1600</v>
      </c>
      <c r="G13" s="6" t="n">
        <f aca="false">D13+E13+F13</f>
        <v>77660</v>
      </c>
      <c r="H13" s="6" t="n">
        <f aca="false">MIN(D13*$N$6,$N$7)</f>
        <v>1800</v>
      </c>
      <c r="I13" s="6" t="n">
        <f aca="false">$N$8</f>
        <v>200</v>
      </c>
      <c r="J13" s="6" t="n">
        <f aca="false">H13+I13</f>
        <v>2000</v>
      </c>
      <c r="K13" s="6" t="n">
        <f aca="false">G13-J13</f>
        <v>75660</v>
      </c>
    </row>
    <row r="14" customFormat="false" ht="15" hidden="false" customHeight="false" outlineLevel="0" collapsed="false">
      <c r="A14" s="4" t="str">
        <f aca="false">'Employee Master'!A14</f>
        <v>EMP1009</v>
      </c>
      <c r="B14" s="4" t="str">
        <f aca="false">CONCATENATE('Employee Master'!B14," ",'Employee Master'!C14)</f>
        <v>David Kapoor</v>
      </c>
      <c r="C14" s="4" t="str">
        <f aca="false">'Employee Master'!D14</f>
        <v>Operations</v>
      </c>
      <c r="D14" s="6" t="n">
        <f aca="false">'Employee Master'!L14</f>
        <v>17670</v>
      </c>
      <c r="E14" s="6" t="n">
        <f aca="false">'Employee Master'!M14</f>
        <v>7070</v>
      </c>
      <c r="F14" s="6" t="n">
        <f aca="false">$N$5</f>
        <v>1600</v>
      </c>
      <c r="G14" s="6" t="n">
        <f aca="false">D14+E14+F14</f>
        <v>26340</v>
      </c>
      <c r="H14" s="6" t="n">
        <f aca="false">MIN(D14*$N$6,$N$7)</f>
        <v>1800</v>
      </c>
      <c r="I14" s="6" t="n">
        <f aca="false">$N$8</f>
        <v>200</v>
      </c>
      <c r="J14" s="6" t="n">
        <f aca="false">H14+I14</f>
        <v>2000</v>
      </c>
      <c r="K14" s="6" t="n">
        <f aca="false">G14-J14</f>
        <v>24340</v>
      </c>
    </row>
    <row r="15" customFormat="false" ht="15" hidden="false" customHeight="false" outlineLevel="0" collapsed="false">
      <c r="A15" s="4" t="str">
        <f aca="false">'Employee Master'!A15</f>
        <v>EMP1010</v>
      </c>
      <c r="B15" s="4" t="str">
        <f aca="false">CONCATENATE('Employee Master'!B15," ",'Employee Master'!C15)</f>
        <v>James Williams</v>
      </c>
      <c r="C15" s="4" t="str">
        <f aca="false">'Employee Master'!D15</f>
        <v>Marketing</v>
      </c>
      <c r="D15" s="6" t="n">
        <f aca="false">'Employee Master'!L15</f>
        <v>54000</v>
      </c>
      <c r="E15" s="6" t="n">
        <f aca="false">'Employee Master'!M15</f>
        <v>21600</v>
      </c>
      <c r="F15" s="6" t="n">
        <f aca="false">$N$5</f>
        <v>1600</v>
      </c>
      <c r="G15" s="6" t="n">
        <f aca="false">D15+E15+F15</f>
        <v>77200</v>
      </c>
      <c r="H15" s="6" t="n">
        <f aca="false">MIN(D15*$N$6,$N$7)</f>
        <v>1800</v>
      </c>
      <c r="I15" s="6" t="n">
        <f aca="false">$N$8</f>
        <v>200</v>
      </c>
      <c r="J15" s="6" t="n">
        <f aca="false">H15+I15</f>
        <v>2000</v>
      </c>
      <c r="K15" s="6" t="n">
        <f aca="false">G15-J15</f>
        <v>75200</v>
      </c>
    </row>
    <row r="16" customFormat="false" ht="15" hidden="false" customHeight="false" outlineLevel="0" collapsed="false">
      <c r="A16" s="4" t="str">
        <f aca="false">'Employee Master'!A16</f>
        <v>EMP1011</v>
      </c>
      <c r="B16" s="4" t="str">
        <f aca="false">CONCATENATE('Employee Master'!B16," ",'Employee Master'!C16)</f>
        <v>Rohan Kapoor</v>
      </c>
      <c r="C16" s="4" t="str">
        <f aca="false">'Employee Master'!D16</f>
        <v>Sales</v>
      </c>
      <c r="D16" s="6" t="n">
        <f aca="false">'Employee Master'!L16</f>
        <v>33670</v>
      </c>
      <c r="E16" s="6" t="n">
        <f aca="false">'Employee Master'!M16</f>
        <v>13470</v>
      </c>
      <c r="F16" s="6" t="n">
        <f aca="false">$N$5</f>
        <v>1600</v>
      </c>
      <c r="G16" s="6" t="n">
        <f aca="false">D16+E16+F16</f>
        <v>48740</v>
      </c>
      <c r="H16" s="6" t="n">
        <f aca="false">MIN(D16*$N$6,$N$7)</f>
        <v>1800</v>
      </c>
      <c r="I16" s="6" t="n">
        <f aca="false">$N$8</f>
        <v>200</v>
      </c>
      <c r="J16" s="6" t="n">
        <f aca="false">H16+I16</f>
        <v>2000</v>
      </c>
      <c r="K16" s="6" t="n">
        <f aca="false">G16-J16</f>
        <v>46740</v>
      </c>
    </row>
    <row r="17" customFormat="false" ht="15" hidden="false" customHeight="false" outlineLevel="0" collapsed="false">
      <c r="A17" s="4" t="str">
        <f aca="false">'Employee Master'!A17</f>
        <v>EMP1012</v>
      </c>
      <c r="B17" s="4" t="str">
        <f aca="false">CONCATENATE('Employee Master'!B17," ",'Employee Master'!C17)</f>
        <v>Ishaan Davis</v>
      </c>
      <c r="C17" s="4" t="str">
        <f aca="false">'Employee Master'!D17</f>
        <v>HR</v>
      </c>
      <c r="D17" s="6" t="n">
        <f aca="false">'Employee Master'!L17</f>
        <v>51000</v>
      </c>
      <c r="E17" s="6" t="n">
        <f aca="false">'Employee Master'!M17</f>
        <v>20400</v>
      </c>
      <c r="F17" s="6" t="n">
        <f aca="false">$N$5</f>
        <v>1600</v>
      </c>
      <c r="G17" s="6" t="n">
        <f aca="false">D17+E17+F17</f>
        <v>73000</v>
      </c>
      <c r="H17" s="6" t="n">
        <f aca="false">MIN(D17*$N$6,$N$7)</f>
        <v>1800</v>
      </c>
      <c r="I17" s="6" t="n">
        <f aca="false">$N$8</f>
        <v>200</v>
      </c>
      <c r="J17" s="6" t="n">
        <f aca="false">H17+I17</f>
        <v>2000</v>
      </c>
      <c r="K17" s="6" t="n">
        <f aca="false">G17-J17</f>
        <v>71000</v>
      </c>
    </row>
    <row r="18" customFormat="false" ht="15" hidden="false" customHeight="false" outlineLevel="0" collapsed="false">
      <c r="A18" s="4" t="str">
        <f aca="false">'Employee Master'!A18</f>
        <v>EMP1013</v>
      </c>
      <c r="B18" s="4" t="str">
        <f aca="false">CONCATENATE('Employee Master'!B18," ",'Employee Master'!C18)</f>
        <v>Evelyn Gupta</v>
      </c>
      <c r="C18" s="4" t="str">
        <f aca="false">'Employee Master'!D18</f>
        <v>HR</v>
      </c>
      <c r="D18" s="6" t="n">
        <f aca="false">'Employee Master'!L18</f>
        <v>24670</v>
      </c>
      <c r="E18" s="6" t="n">
        <f aca="false">'Employee Master'!M18</f>
        <v>9870</v>
      </c>
      <c r="F18" s="6" t="n">
        <f aca="false">$N$5</f>
        <v>1600</v>
      </c>
      <c r="G18" s="6" t="n">
        <f aca="false">D18+E18+F18</f>
        <v>36140</v>
      </c>
      <c r="H18" s="6" t="n">
        <f aca="false">MIN(D18*$N$6,$N$7)</f>
        <v>1800</v>
      </c>
      <c r="I18" s="6" t="n">
        <f aca="false">$N$8</f>
        <v>200</v>
      </c>
      <c r="J18" s="6" t="n">
        <f aca="false">H18+I18</f>
        <v>2000</v>
      </c>
      <c r="K18" s="6" t="n">
        <f aca="false">G18-J18</f>
        <v>34140</v>
      </c>
    </row>
    <row r="19" customFormat="false" ht="15" hidden="false" customHeight="false" outlineLevel="0" collapsed="false">
      <c r="A19" s="4" t="str">
        <f aca="false">'Employee Master'!A19</f>
        <v>EMP1014</v>
      </c>
      <c r="B19" s="4" t="str">
        <f aca="false">CONCATENATE('Employee Master'!B19," ",'Employee Master'!C19)</f>
        <v>Yuki Sen</v>
      </c>
      <c r="C19" s="4" t="str">
        <f aca="false">'Employee Master'!D19</f>
        <v>Finance</v>
      </c>
      <c r="D19" s="6" t="n">
        <f aca="false">'Employee Master'!L19</f>
        <v>53670</v>
      </c>
      <c r="E19" s="6" t="n">
        <f aca="false">'Employee Master'!M19</f>
        <v>21470</v>
      </c>
      <c r="F19" s="6" t="n">
        <f aca="false">$N$5</f>
        <v>1600</v>
      </c>
      <c r="G19" s="6" t="n">
        <f aca="false">D19+E19+F19</f>
        <v>76740</v>
      </c>
      <c r="H19" s="6" t="n">
        <f aca="false">MIN(D19*$N$6,$N$7)</f>
        <v>1800</v>
      </c>
      <c r="I19" s="6" t="n">
        <f aca="false">$N$8</f>
        <v>200</v>
      </c>
      <c r="J19" s="6" t="n">
        <f aca="false">H19+I19</f>
        <v>2000</v>
      </c>
      <c r="K19" s="6" t="n">
        <f aca="false">G19-J19</f>
        <v>74740</v>
      </c>
    </row>
    <row r="20" customFormat="false" ht="15" hidden="false" customHeight="false" outlineLevel="0" collapsed="false">
      <c r="A20" s="4" t="str">
        <f aca="false">'Employee Master'!A20</f>
        <v>EMP1015</v>
      </c>
      <c r="B20" s="4" t="str">
        <f aca="false">CONCATENATE('Employee Master'!B20," ",'Employee Master'!C20)</f>
        <v>Aarav Malhotra</v>
      </c>
      <c r="C20" s="4" t="str">
        <f aca="false">'Employee Master'!D20</f>
        <v>Operations</v>
      </c>
      <c r="D20" s="6" t="n">
        <f aca="false">'Employee Master'!L20</f>
        <v>58000</v>
      </c>
      <c r="E20" s="6" t="n">
        <f aca="false">'Employee Master'!M20</f>
        <v>23200</v>
      </c>
      <c r="F20" s="6" t="n">
        <f aca="false">$N$5</f>
        <v>1600</v>
      </c>
      <c r="G20" s="6" t="n">
        <f aca="false">D20+E20+F20</f>
        <v>82800</v>
      </c>
      <c r="H20" s="6" t="n">
        <f aca="false">MIN(D20*$N$6,$N$7)</f>
        <v>1800</v>
      </c>
      <c r="I20" s="6" t="n">
        <f aca="false">$N$8</f>
        <v>200</v>
      </c>
      <c r="J20" s="6" t="n">
        <f aca="false">H20+I20</f>
        <v>2000</v>
      </c>
      <c r="K20" s="6" t="n">
        <f aca="false">G20-J20</f>
        <v>80800</v>
      </c>
    </row>
    <row r="21" customFormat="false" ht="15" hidden="false" customHeight="false" outlineLevel="0" collapsed="false">
      <c r="A21" s="4" t="str">
        <f aca="false">'Employee Master'!A21</f>
        <v>EMP1016</v>
      </c>
      <c r="B21" s="4" t="str">
        <f aca="false">CONCATENATE('Employee Master'!B21," ",'Employee Master'!C21)</f>
        <v>Evelyn Rao</v>
      </c>
      <c r="C21" s="4" t="str">
        <f aca="false">'Employee Master'!D21</f>
        <v>Sales</v>
      </c>
      <c r="D21" s="6" t="n">
        <f aca="false">'Employee Master'!L21</f>
        <v>16330</v>
      </c>
      <c r="E21" s="6" t="n">
        <f aca="false">'Employee Master'!M21</f>
        <v>6530</v>
      </c>
      <c r="F21" s="6" t="n">
        <f aca="false">$N$5</f>
        <v>1600</v>
      </c>
      <c r="G21" s="6" t="n">
        <f aca="false">D21+E21+F21</f>
        <v>24460</v>
      </c>
      <c r="H21" s="6" t="n">
        <f aca="false">MIN(D21*$N$6,$N$7)</f>
        <v>1800</v>
      </c>
      <c r="I21" s="6" t="n">
        <f aca="false">$N$8</f>
        <v>200</v>
      </c>
      <c r="J21" s="6" t="n">
        <f aca="false">H21+I21</f>
        <v>2000</v>
      </c>
      <c r="K21" s="6" t="n">
        <f aca="false">G21-J21</f>
        <v>22460</v>
      </c>
    </row>
    <row r="22" customFormat="false" ht="15" hidden="false" customHeight="false" outlineLevel="0" collapsed="false">
      <c r="A22" s="4" t="str">
        <f aca="false">'Employee Master'!A22</f>
        <v>EMP1017</v>
      </c>
      <c r="B22" s="4" t="str">
        <f aca="false">CONCATENATE('Employee Master'!B22," ",'Employee Master'!C22)</f>
        <v>Krishna Mukherjee</v>
      </c>
      <c r="C22" s="4" t="str">
        <f aca="false">'Employee Master'!D22</f>
        <v>Marketing</v>
      </c>
      <c r="D22" s="6" t="n">
        <f aca="false">'Employee Master'!L22</f>
        <v>22000</v>
      </c>
      <c r="E22" s="6" t="n">
        <f aca="false">'Employee Master'!M22</f>
        <v>8800</v>
      </c>
      <c r="F22" s="6" t="n">
        <f aca="false">$N$5</f>
        <v>1600</v>
      </c>
      <c r="G22" s="6" t="n">
        <f aca="false">D22+E22+F22</f>
        <v>32400</v>
      </c>
      <c r="H22" s="6" t="n">
        <f aca="false">MIN(D22*$N$6,$N$7)</f>
        <v>1800</v>
      </c>
      <c r="I22" s="6" t="n">
        <f aca="false">$N$8</f>
        <v>200</v>
      </c>
      <c r="J22" s="6" t="n">
        <f aca="false">H22+I22</f>
        <v>2000</v>
      </c>
      <c r="K22" s="6" t="n">
        <f aca="false">G22-J22</f>
        <v>30400</v>
      </c>
    </row>
    <row r="23" customFormat="false" ht="15" hidden="false" customHeight="false" outlineLevel="0" collapsed="false">
      <c r="A23" s="4" t="str">
        <f aca="false">'Employee Master'!A23</f>
        <v>EMP1018</v>
      </c>
      <c r="B23" s="4" t="str">
        <f aca="false">CONCATENATE('Employee Master'!B23," ",'Employee Master'!C23)</f>
        <v>Min Miller</v>
      </c>
      <c r="C23" s="4" t="str">
        <f aca="false">'Employee Master'!D23</f>
        <v>Engineering</v>
      </c>
      <c r="D23" s="6" t="n">
        <f aca="false">'Employee Master'!L23</f>
        <v>29000</v>
      </c>
      <c r="E23" s="6" t="n">
        <f aca="false">'Employee Master'!M23</f>
        <v>11600</v>
      </c>
      <c r="F23" s="6" t="n">
        <f aca="false">$N$5</f>
        <v>1600</v>
      </c>
      <c r="G23" s="6" t="n">
        <f aca="false">D23+E23+F23</f>
        <v>42200</v>
      </c>
      <c r="H23" s="6" t="n">
        <f aca="false">MIN(D23*$N$6,$N$7)</f>
        <v>1800</v>
      </c>
      <c r="I23" s="6" t="n">
        <f aca="false">$N$8</f>
        <v>200</v>
      </c>
      <c r="J23" s="6" t="n">
        <f aca="false">H23+I23</f>
        <v>2000</v>
      </c>
      <c r="K23" s="6" t="n">
        <f aca="false">G23-J23</f>
        <v>40200</v>
      </c>
    </row>
    <row r="24" customFormat="false" ht="15" hidden="false" customHeight="false" outlineLevel="0" collapsed="false">
      <c r="A24" s="4" t="str">
        <f aca="false">'Employee Master'!A24</f>
        <v>EMP1019</v>
      </c>
      <c r="B24" s="4" t="str">
        <f aca="false">CONCATENATE('Employee Master'!B24," ",'Employee Master'!C24)</f>
        <v>Anika Davis</v>
      </c>
      <c r="C24" s="4" t="str">
        <f aca="false">'Employee Master'!D24</f>
        <v>Finance</v>
      </c>
      <c r="D24" s="6" t="n">
        <f aca="false">'Employee Master'!L24</f>
        <v>46670</v>
      </c>
      <c r="E24" s="6" t="n">
        <f aca="false">'Employee Master'!M24</f>
        <v>18670</v>
      </c>
      <c r="F24" s="6" t="n">
        <f aca="false">$N$5</f>
        <v>1600</v>
      </c>
      <c r="G24" s="6" t="n">
        <f aca="false">D24+E24+F24</f>
        <v>66940</v>
      </c>
      <c r="H24" s="6" t="n">
        <f aca="false">MIN(D24*$N$6,$N$7)</f>
        <v>1800</v>
      </c>
      <c r="I24" s="6" t="n">
        <f aca="false">$N$8</f>
        <v>200</v>
      </c>
      <c r="J24" s="6" t="n">
        <f aca="false">H24+I24</f>
        <v>2000</v>
      </c>
      <c r="K24" s="6" t="n">
        <f aca="false">G24-J24</f>
        <v>64940</v>
      </c>
    </row>
    <row r="25" customFormat="false" ht="15" hidden="false" customHeight="false" outlineLevel="0" collapsed="false">
      <c r="A25" s="4" t="str">
        <f aca="false">'Employee Master'!A25</f>
        <v>EMP1020</v>
      </c>
      <c r="B25" s="4" t="str">
        <f aca="false">CONCATENATE('Employee Master'!B25," ",'Employee Master'!C25)</f>
        <v>Joseph Sen</v>
      </c>
      <c r="C25" s="4" t="str">
        <f aca="false">'Employee Master'!D25</f>
        <v>Finance</v>
      </c>
      <c r="D25" s="6" t="n">
        <f aca="false">'Employee Master'!L25</f>
        <v>16670</v>
      </c>
      <c r="E25" s="6" t="n">
        <f aca="false">'Employee Master'!M25</f>
        <v>6670</v>
      </c>
      <c r="F25" s="6" t="n">
        <f aca="false">$N$5</f>
        <v>1600</v>
      </c>
      <c r="G25" s="6" t="n">
        <f aca="false">D25+E25+F25</f>
        <v>24940</v>
      </c>
      <c r="H25" s="6" t="n">
        <f aca="false">MIN(D25*$N$6,$N$7)</f>
        <v>1800</v>
      </c>
      <c r="I25" s="6" t="n">
        <f aca="false">$N$8</f>
        <v>200</v>
      </c>
      <c r="J25" s="6" t="n">
        <f aca="false">H25+I25</f>
        <v>2000</v>
      </c>
      <c r="K25" s="6" t="n">
        <f aca="false">G25-J25</f>
        <v>22940</v>
      </c>
    </row>
    <row r="26" customFormat="false" ht="15" hidden="false" customHeight="false" outlineLevel="0" collapsed="false">
      <c r="A26" s="4" t="str">
        <f aca="false">'Employee Master'!A26</f>
        <v>EMP1021</v>
      </c>
      <c r="B26" s="4" t="str">
        <f aca="false">CONCATENATE('Employee Master'!B26," ",'Employee Master'!C26)</f>
        <v>Harper Garcia</v>
      </c>
      <c r="C26" s="4" t="str">
        <f aca="false">'Employee Master'!D26</f>
        <v>Sales</v>
      </c>
      <c r="D26" s="6" t="n">
        <f aca="false">'Employee Master'!L26</f>
        <v>20670</v>
      </c>
      <c r="E26" s="6" t="n">
        <f aca="false">'Employee Master'!M26</f>
        <v>8270</v>
      </c>
      <c r="F26" s="6" t="n">
        <f aca="false">$N$5</f>
        <v>1600</v>
      </c>
      <c r="G26" s="6" t="n">
        <f aca="false">D26+E26+F26</f>
        <v>30540</v>
      </c>
      <c r="H26" s="6" t="n">
        <f aca="false">MIN(D26*$N$6,$N$7)</f>
        <v>1800</v>
      </c>
      <c r="I26" s="6" t="n">
        <f aca="false">$N$8</f>
        <v>200</v>
      </c>
      <c r="J26" s="6" t="n">
        <f aca="false">H26+I26</f>
        <v>2000</v>
      </c>
      <c r="K26" s="6" t="n">
        <f aca="false">G26-J26</f>
        <v>28540</v>
      </c>
    </row>
    <row r="27" customFormat="false" ht="15" hidden="false" customHeight="false" outlineLevel="0" collapsed="false">
      <c r="A27" s="4" t="str">
        <f aca="false">'Employee Master'!A27</f>
        <v>EMP1022</v>
      </c>
      <c r="B27" s="4" t="str">
        <f aca="false">CONCATENATE('Employee Master'!B27," ",'Employee Master'!C27)</f>
        <v>Aditya Roy</v>
      </c>
      <c r="C27" s="4" t="str">
        <f aca="false">'Employee Master'!D27</f>
        <v>Marketing</v>
      </c>
      <c r="D27" s="6" t="n">
        <f aca="false">'Employee Master'!L27</f>
        <v>26000</v>
      </c>
      <c r="E27" s="6" t="n">
        <f aca="false">'Employee Master'!M27</f>
        <v>10400</v>
      </c>
      <c r="F27" s="6" t="n">
        <f aca="false">$N$5</f>
        <v>1600</v>
      </c>
      <c r="G27" s="6" t="n">
        <f aca="false">D27+E27+F27</f>
        <v>38000</v>
      </c>
      <c r="H27" s="6" t="n">
        <f aca="false">MIN(D27*$N$6,$N$7)</f>
        <v>1800</v>
      </c>
      <c r="I27" s="6" t="n">
        <f aca="false">$N$8</f>
        <v>200</v>
      </c>
      <c r="J27" s="6" t="n">
        <f aca="false">H27+I27</f>
        <v>2000</v>
      </c>
      <c r="K27" s="6" t="n">
        <f aca="false">G27-J27</f>
        <v>36000</v>
      </c>
    </row>
    <row r="28" customFormat="false" ht="15" hidden="false" customHeight="false" outlineLevel="0" collapsed="false">
      <c r="A28" s="4" t="str">
        <f aca="false">'Employee Master'!A28</f>
        <v>EMP1023</v>
      </c>
      <c r="B28" s="4" t="str">
        <f aca="false">CONCATENATE('Employee Master'!B28," ",'Employee Master'!C28)</f>
        <v>Min Mukherjee</v>
      </c>
      <c r="C28" s="4" t="str">
        <f aca="false">'Employee Master'!D28</f>
        <v>Finance</v>
      </c>
      <c r="D28" s="6" t="n">
        <f aca="false">'Employee Master'!L28</f>
        <v>23000</v>
      </c>
      <c r="E28" s="6" t="n">
        <f aca="false">'Employee Master'!M28</f>
        <v>9200</v>
      </c>
      <c r="F28" s="6" t="n">
        <f aca="false">$N$5</f>
        <v>1600</v>
      </c>
      <c r="G28" s="6" t="n">
        <f aca="false">D28+E28+F28</f>
        <v>33800</v>
      </c>
      <c r="H28" s="6" t="n">
        <f aca="false">MIN(D28*$N$6,$N$7)</f>
        <v>1800</v>
      </c>
      <c r="I28" s="6" t="n">
        <f aca="false">$N$8</f>
        <v>200</v>
      </c>
      <c r="J28" s="6" t="n">
        <f aca="false">H28+I28</f>
        <v>2000</v>
      </c>
      <c r="K28" s="6" t="n">
        <f aca="false">G28-J28</f>
        <v>31800</v>
      </c>
    </row>
    <row r="29" customFormat="false" ht="15" hidden="false" customHeight="false" outlineLevel="0" collapsed="false">
      <c r="A29" s="4" t="str">
        <f aca="false">'Employee Master'!A29</f>
        <v>EMP1024</v>
      </c>
      <c r="B29" s="4" t="str">
        <f aca="false">CONCATENATE('Employee Master'!B29," ",'Employee Master'!C29)</f>
        <v>Reyansh Shah</v>
      </c>
      <c r="C29" s="4" t="str">
        <f aca="false">'Employee Master'!D29</f>
        <v>HR</v>
      </c>
      <c r="D29" s="6" t="n">
        <f aca="false">'Employee Master'!L29</f>
        <v>23330</v>
      </c>
      <c r="E29" s="6" t="n">
        <f aca="false">'Employee Master'!M29</f>
        <v>9330</v>
      </c>
      <c r="F29" s="6" t="n">
        <f aca="false">$N$5</f>
        <v>1600</v>
      </c>
      <c r="G29" s="6" t="n">
        <f aca="false">D29+E29+F29</f>
        <v>34260</v>
      </c>
      <c r="H29" s="6" t="n">
        <f aca="false">MIN(D29*$N$6,$N$7)</f>
        <v>1800</v>
      </c>
      <c r="I29" s="6" t="n">
        <f aca="false">$N$8</f>
        <v>200</v>
      </c>
      <c r="J29" s="6" t="n">
        <f aca="false">H29+I29</f>
        <v>2000</v>
      </c>
      <c r="K29" s="6" t="n">
        <f aca="false">G29-J29</f>
        <v>32260</v>
      </c>
    </row>
    <row r="30" customFormat="false" ht="15" hidden="false" customHeight="false" outlineLevel="0" collapsed="false">
      <c r="A30" s="4" t="str">
        <f aca="false">'Employee Master'!A30</f>
        <v>EMP1025</v>
      </c>
      <c r="B30" s="4" t="str">
        <f aca="false">CONCATENATE('Employee Master'!B30," ",'Employee Master'!C30)</f>
        <v>Vihaan Williams</v>
      </c>
      <c r="C30" s="4" t="str">
        <f aca="false">'Employee Master'!D30</f>
        <v>Operations</v>
      </c>
      <c r="D30" s="6" t="n">
        <f aca="false">'Employee Master'!L30</f>
        <v>53000</v>
      </c>
      <c r="E30" s="6" t="n">
        <f aca="false">'Employee Master'!M30</f>
        <v>21200</v>
      </c>
      <c r="F30" s="6" t="n">
        <f aca="false">$N$5</f>
        <v>1600</v>
      </c>
      <c r="G30" s="6" t="n">
        <f aca="false">D30+E30+F30</f>
        <v>75800</v>
      </c>
      <c r="H30" s="6" t="n">
        <f aca="false">MIN(D30*$N$6,$N$7)</f>
        <v>1800</v>
      </c>
      <c r="I30" s="6" t="n">
        <f aca="false">$N$8</f>
        <v>200</v>
      </c>
      <c r="J30" s="6" t="n">
        <f aca="false">H30+I30</f>
        <v>2000</v>
      </c>
      <c r="K30" s="6" t="n">
        <f aca="false">G30-J30</f>
        <v>73800</v>
      </c>
    </row>
    <row r="31" customFormat="false" ht="15" hidden="false" customHeight="false" outlineLevel="0" collapsed="false">
      <c r="A31" s="4" t="str">
        <f aca="false">'Employee Master'!A31</f>
        <v>EMP1026</v>
      </c>
      <c r="B31" s="4" t="str">
        <f aca="false">CONCATENATE('Employee Master'!B31," ",'Employee Master'!C31)</f>
        <v>Ishaan Brown</v>
      </c>
      <c r="C31" s="4" t="str">
        <f aca="false">'Employee Master'!D31</f>
        <v>Sales</v>
      </c>
      <c r="D31" s="6" t="n">
        <f aca="false">'Employee Master'!L31</f>
        <v>23330</v>
      </c>
      <c r="E31" s="6" t="n">
        <f aca="false">'Employee Master'!M31</f>
        <v>9330</v>
      </c>
      <c r="F31" s="6" t="n">
        <f aca="false">$N$5</f>
        <v>1600</v>
      </c>
      <c r="G31" s="6" t="n">
        <f aca="false">D31+E31+F31</f>
        <v>34260</v>
      </c>
      <c r="H31" s="6" t="n">
        <f aca="false">MIN(D31*$N$6,$N$7)</f>
        <v>1800</v>
      </c>
      <c r="I31" s="6" t="n">
        <f aca="false">$N$8</f>
        <v>200</v>
      </c>
      <c r="J31" s="6" t="n">
        <f aca="false">H31+I31</f>
        <v>2000</v>
      </c>
      <c r="K31" s="6" t="n">
        <f aca="false">G31-J31</f>
        <v>32260</v>
      </c>
    </row>
    <row r="32" customFormat="false" ht="15" hidden="false" customHeight="false" outlineLevel="0" collapsed="false">
      <c r="A32" s="4" t="str">
        <f aca="false">'Employee Master'!A32</f>
        <v>EMP1027</v>
      </c>
      <c r="B32" s="4" t="str">
        <f aca="false">CONCATENATE('Employee Master'!B32," ",'Employee Master'!C32)</f>
        <v>Vihaan Patel</v>
      </c>
      <c r="C32" s="4" t="str">
        <f aca="false">'Employee Master'!D32</f>
        <v>Finance</v>
      </c>
      <c r="D32" s="6" t="n">
        <f aca="false">'Employee Master'!L32</f>
        <v>56000</v>
      </c>
      <c r="E32" s="6" t="n">
        <f aca="false">'Employee Master'!M32</f>
        <v>22400</v>
      </c>
      <c r="F32" s="6" t="n">
        <f aca="false">$N$5</f>
        <v>1600</v>
      </c>
      <c r="G32" s="6" t="n">
        <f aca="false">D32+E32+F32</f>
        <v>80000</v>
      </c>
      <c r="H32" s="6" t="n">
        <f aca="false">MIN(D32*$N$6,$N$7)</f>
        <v>1800</v>
      </c>
      <c r="I32" s="6" t="n">
        <f aca="false">$N$8</f>
        <v>200</v>
      </c>
      <c r="J32" s="6" t="n">
        <f aca="false">H32+I32</f>
        <v>2000</v>
      </c>
      <c r="K32" s="6" t="n">
        <f aca="false">G32-J32</f>
        <v>78000</v>
      </c>
    </row>
    <row r="33" customFormat="false" ht="15" hidden="false" customHeight="false" outlineLevel="0" collapsed="false">
      <c r="A33" s="4" t="str">
        <f aca="false">'Employee Master'!A33</f>
        <v>EMP1028</v>
      </c>
      <c r="B33" s="4" t="str">
        <f aca="false">CONCATENATE('Employee Master'!B33," ",'Employee Master'!C33)</f>
        <v>Aadhya Roy</v>
      </c>
      <c r="C33" s="4" t="str">
        <f aca="false">'Employee Master'!D33</f>
        <v>HR</v>
      </c>
      <c r="D33" s="6" t="n">
        <f aca="false">'Employee Master'!L33</f>
        <v>53670</v>
      </c>
      <c r="E33" s="6" t="n">
        <f aca="false">'Employee Master'!M33</f>
        <v>21470</v>
      </c>
      <c r="F33" s="6" t="n">
        <f aca="false">$N$5</f>
        <v>1600</v>
      </c>
      <c r="G33" s="6" t="n">
        <f aca="false">D33+E33+F33</f>
        <v>76740</v>
      </c>
      <c r="H33" s="6" t="n">
        <f aca="false">MIN(D33*$N$6,$N$7)</f>
        <v>1800</v>
      </c>
      <c r="I33" s="6" t="n">
        <f aca="false">$N$8</f>
        <v>200</v>
      </c>
      <c r="J33" s="6" t="n">
        <f aca="false">H33+I33</f>
        <v>2000</v>
      </c>
      <c r="K33" s="6" t="n">
        <f aca="false">G33-J33</f>
        <v>74740</v>
      </c>
    </row>
    <row r="34" customFormat="false" ht="15" hidden="false" customHeight="false" outlineLevel="0" collapsed="false">
      <c r="A34" s="4" t="str">
        <f aca="false">'Employee Master'!A34</f>
        <v>EMP1029</v>
      </c>
      <c r="B34" s="4" t="str">
        <f aca="false">CONCATENATE('Employee Master'!B34," ",'Employee Master'!C34)</f>
        <v>Riya Brown</v>
      </c>
      <c r="C34" s="4" t="str">
        <f aca="false">'Employee Master'!D34</f>
        <v>Operations</v>
      </c>
      <c r="D34" s="6" t="n">
        <f aca="false">'Employee Master'!L34</f>
        <v>19670</v>
      </c>
      <c r="E34" s="6" t="n">
        <f aca="false">'Employee Master'!M34</f>
        <v>7870</v>
      </c>
      <c r="F34" s="6" t="n">
        <f aca="false">$N$5</f>
        <v>1600</v>
      </c>
      <c r="G34" s="6" t="n">
        <f aca="false">D34+E34+F34</f>
        <v>29140</v>
      </c>
      <c r="H34" s="6" t="n">
        <f aca="false">MIN(D34*$N$6,$N$7)</f>
        <v>1800</v>
      </c>
      <c r="I34" s="6" t="n">
        <f aca="false">$N$8</f>
        <v>200</v>
      </c>
      <c r="J34" s="6" t="n">
        <f aca="false">H34+I34</f>
        <v>2000</v>
      </c>
      <c r="K34" s="6" t="n">
        <f aca="false">G34-J34</f>
        <v>27140</v>
      </c>
    </row>
    <row r="35" customFormat="false" ht="15" hidden="false" customHeight="false" outlineLevel="0" collapsed="false">
      <c r="A35" s="4" t="str">
        <f aca="false">'Employee Master'!A35</f>
        <v>EMP1030</v>
      </c>
      <c r="B35" s="4" t="str">
        <f aca="false">CONCATENATE('Employee Master'!B35," ",'Employee Master'!C35)</f>
        <v>Harper Malhotra</v>
      </c>
      <c r="C35" s="4" t="str">
        <f aca="false">'Employee Master'!D35</f>
        <v>Finance</v>
      </c>
      <c r="D35" s="6" t="n">
        <f aca="false">'Employee Master'!L35</f>
        <v>57670</v>
      </c>
      <c r="E35" s="6" t="n">
        <f aca="false">'Employee Master'!M35</f>
        <v>23070</v>
      </c>
      <c r="F35" s="6" t="n">
        <f aca="false">$N$5</f>
        <v>1600</v>
      </c>
      <c r="G35" s="6" t="n">
        <f aca="false">D35+E35+F35</f>
        <v>82340</v>
      </c>
      <c r="H35" s="6" t="n">
        <f aca="false">MIN(D35*$N$6,$N$7)</f>
        <v>1800</v>
      </c>
      <c r="I35" s="6" t="n">
        <f aca="false">$N$8</f>
        <v>200</v>
      </c>
      <c r="J35" s="6" t="n">
        <f aca="false">H35+I35</f>
        <v>2000</v>
      </c>
      <c r="K35" s="6" t="n">
        <f aca="false">G35-J35</f>
        <v>80340</v>
      </c>
    </row>
    <row r="36" customFormat="false" ht="15" hidden="false" customHeight="false" outlineLevel="0" collapsed="false">
      <c r="A36" s="4" t="str">
        <f aca="false">'Employee Master'!A36</f>
        <v>EMP1031</v>
      </c>
      <c r="B36" s="4" t="str">
        <f aca="false">CONCATENATE('Employee Master'!B36," ",'Employee Master'!C36)</f>
        <v>Isabella Nair</v>
      </c>
      <c r="C36" s="4" t="str">
        <f aca="false">'Employee Master'!D36</f>
        <v>Engineering</v>
      </c>
      <c r="D36" s="6" t="n">
        <f aca="false">'Employee Master'!L36</f>
        <v>35000</v>
      </c>
      <c r="E36" s="6" t="n">
        <f aca="false">'Employee Master'!M36</f>
        <v>14000</v>
      </c>
      <c r="F36" s="6" t="n">
        <f aca="false">$N$5</f>
        <v>1600</v>
      </c>
      <c r="G36" s="6" t="n">
        <f aca="false">D36+E36+F36</f>
        <v>50600</v>
      </c>
      <c r="H36" s="6" t="n">
        <f aca="false">MIN(D36*$N$6,$N$7)</f>
        <v>1800</v>
      </c>
      <c r="I36" s="6" t="n">
        <f aca="false">$N$8</f>
        <v>200</v>
      </c>
      <c r="J36" s="6" t="n">
        <f aca="false">H36+I36</f>
        <v>2000</v>
      </c>
      <c r="K36" s="6" t="n">
        <f aca="false">G36-J36</f>
        <v>48600</v>
      </c>
    </row>
    <row r="37" customFormat="false" ht="15" hidden="false" customHeight="false" outlineLevel="0" collapsed="false">
      <c r="A37" s="4" t="str">
        <f aca="false">'Employee Master'!A37</f>
        <v>EMP1032</v>
      </c>
      <c r="B37" s="4" t="str">
        <f aca="false">CONCATENATE('Employee Master'!B37," ",'Employee Master'!C37)</f>
        <v>Daniel Reddy</v>
      </c>
      <c r="C37" s="4" t="str">
        <f aca="false">'Employee Master'!D37</f>
        <v>Finance</v>
      </c>
      <c r="D37" s="6" t="n">
        <f aca="false">'Employee Master'!L37</f>
        <v>59330</v>
      </c>
      <c r="E37" s="6" t="n">
        <f aca="false">'Employee Master'!M37</f>
        <v>23730</v>
      </c>
      <c r="F37" s="6" t="n">
        <f aca="false">$N$5</f>
        <v>1600</v>
      </c>
      <c r="G37" s="6" t="n">
        <f aca="false">D37+E37+F37</f>
        <v>84660</v>
      </c>
      <c r="H37" s="6" t="n">
        <f aca="false">MIN(D37*$N$6,$N$7)</f>
        <v>1800</v>
      </c>
      <c r="I37" s="6" t="n">
        <f aca="false">$N$8</f>
        <v>200</v>
      </c>
      <c r="J37" s="6" t="n">
        <f aca="false">H37+I37</f>
        <v>2000</v>
      </c>
      <c r="K37" s="6" t="n">
        <f aca="false">G37-J37</f>
        <v>82660</v>
      </c>
    </row>
    <row r="38" customFormat="false" ht="15" hidden="false" customHeight="false" outlineLevel="0" collapsed="false">
      <c r="A38" s="4" t="str">
        <f aca="false">'Employee Master'!A38</f>
        <v>EMP1033</v>
      </c>
      <c r="B38" s="4" t="str">
        <f aca="false">CONCATENATE('Employee Master'!B38," ",'Employee Master'!C38)</f>
        <v>James Mukherjee</v>
      </c>
      <c r="C38" s="4" t="str">
        <f aca="false">'Employee Master'!D38</f>
        <v>Marketing</v>
      </c>
      <c r="D38" s="6" t="n">
        <f aca="false">'Employee Master'!L38</f>
        <v>40330</v>
      </c>
      <c r="E38" s="6" t="n">
        <f aca="false">'Employee Master'!M38</f>
        <v>16130</v>
      </c>
      <c r="F38" s="6" t="n">
        <f aca="false">$N$5</f>
        <v>1600</v>
      </c>
      <c r="G38" s="6" t="n">
        <f aca="false">D38+E38+F38</f>
        <v>58060</v>
      </c>
      <c r="H38" s="6" t="n">
        <f aca="false">MIN(D38*$N$6,$N$7)</f>
        <v>1800</v>
      </c>
      <c r="I38" s="6" t="n">
        <f aca="false">$N$8</f>
        <v>200</v>
      </c>
      <c r="J38" s="6" t="n">
        <f aca="false">H38+I38</f>
        <v>2000</v>
      </c>
      <c r="K38" s="6" t="n">
        <f aca="false">G38-J38</f>
        <v>56060</v>
      </c>
    </row>
    <row r="39" customFormat="false" ht="15" hidden="false" customHeight="false" outlineLevel="0" collapsed="false">
      <c r="A39" s="4" t="str">
        <f aca="false">'Employee Master'!A39</f>
        <v>EMP1034</v>
      </c>
      <c r="B39" s="4" t="str">
        <f aca="false">CONCATENATE('Employee Master'!B39," ",'Employee Master'!C39)</f>
        <v>Ryan Smith</v>
      </c>
      <c r="C39" s="4" t="str">
        <f aca="false">'Employee Master'!D39</f>
        <v>Engineering</v>
      </c>
      <c r="D39" s="6" t="n">
        <f aca="false">'Employee Master'!L39</f>
        <v>58000</v>
      </c>
      <c r="E39" s="6" t="n">
        <f aca="false">'Employee Master'!M39</f>
        <v>23200</v>
      </c>
      <c r="F39" s="6" t="n">
        <f aca="false">$N$5</f>
        <v>1600</v>
      </c>
      <c r="G39" s="6" t="n">
        <f aca="false">D39+E39+F39</f>
        <v>82800</v>
      </c>
      <c r="H39" s="6" t="n">
        <f aca="false">MIN(D39*$N$6,$N$7)</f>
        <v>1800</v>
      </c>
      <c r="I39" s="6" t="n">
        <f aca="false">$N$8</f>
        <v>200</v>
      </c>
      <c r="J39" s="6" t="n">
        <f aca="false">H39+I39</f>
        <v>2000</v>
      </c>
      <c r="K39" s="6" t="n">
        <f aca="false">G39-J39</f>
        <v>80800</v>
      </c>
    </row>
    <row r="40" customFormat="false" ht="15" hidden="false" customHeight="false" outlineLevel="0" collapsed="false">
      <c r="A40" s="4" t="str">
        <f aca="false">'Employee Master'!A40</f>
        <v>EMP1035</v>
      </c>
      <c r="B40" s="4" t="str">
        <f aca="false">CONCATENATE('Employee Master'!B40," ",'Employee Master'!C40)</f>
        <v>Anika Iyer</v>
      </c>
      <c r="C40" s="4" t="str">
        <f aca="false">'Employee Master'!D40</f>
        <v>Marketing</v>
      </c>
      <c r="D40" s="6" t="n">
        <f aca="false">'Employee Master'!L40</f>
        <v>40670</v>
      </c>
      <c r="E40" s="6" t="n">
        <f aca="false">'Employee Master'!M40</f>
        <v>16270</v>
      </c>
      <c r="F40" s="6" t="n">
        <f aca="false">$N$5</f>
        <v>1600</v>
      </c>
      <c r="G40" s="6" t="n">
        <f aca="false">D40+E40+F40</f>
        <v>58540</v>
      </c>
      <c r="H40" s="6" t="n">
        <f aca="false">MIN(D40*$N$6,$N$7)</f>
        <v>1800</v>
      </c>
      <c r="I40" s="6" t="n">
        <f aca="false">$N$8</f>
        <v>200</v>
      </c>
      <c r="J40" s="6" t="n">
        <f aca="false">H40+I40</f>
        <v>2000</v>
      </c>
      <c r="K40" s="6" t="n">
        <f aca="false">G40-J40</f>
        <v>56540</v>
      </c>
    </row>
    <row r="41" customFormat="false" ht="15" hidden="false" customHeight="false" outlineLevel="0" collapsed="false">
      <c r="A41" s="4" t="str">
        <f aca="false">'Employee Master'!A41</f>
        <v>EMP1036</v>
      </c>
      <c r="B41" s="4" t="str">
        <f aca="false">CONCATENATE('Employee Master'!B41," ",'Employee Master'!C41)</f>
        <v>Abigail Chatterjee</v>
      </c>
      <c r="C41" s="4" t="str">
        <f aca="false">'Employee Master'!D41</f>
        <v>Operations</v>
      </c>
      <c r="D41" s="6" t="n">
        <f aca="false">'Employee Master'!L41</f>
        <v>37330</v>
      </c>
      <c r="E41" s="6" t="n">
        <f aca="false">'Employee Master'!M41</f>
        <v>14930</v>
      </c>
      <c r="F41" s="6" t="n">
        <f aca="false">$N$5</f>
        <v>1600</v>
      </c>
      <c r="G41" s="6" t="n">
        <f aca="false">D41+E41+F41</f>
        <v>53860</v>
      </c>
      <c r="H41" s="6" t="n">
        <f aca="false">MIN(D41*$N$6,$N$7)</f>
        <v>1800</v>
      </c>
      <c r="I41" s="6" t="n">
        <f aca="false">$N$8</f>
        <v>200</v>
      </c>
      <c r="J41" s="6" t="n">
        <f aca="false">H41+I41</f>
        <v>2000</v>
      </c>
      <c r="K41" s="6" t="n">
        <f aca="false">G41-J41</f>
        <v>51860</v>
      </c>
    </row>
    <row r="42" customFormat="false" ht="15" hidden="false" customHeight="false" outlineLevel="0" collapsed="false">
      <c r="A42" s="4" t="str">
        <f aca="false">'Employee Master'!A42</f>
        <v>EMP1037</v>
      </c>
      <c r="B42" s="4" t="str">
        <f aca="false">CONCATENATE('Employee Master'!B42," ",'Employee Master'!C42)</f>
        <v>Krishna Sen</v>
      </c>
      <c r="C42" s="4" t="str">
        <f aca="false">'Employee Master'!D42</f>
        <v>Engineering</v>
      </c>
      <c r="D42" s="6" t="n">
        <f aca="false">'Employee Master'!L42</f>
        <v>44000</v>
      </c>
      <c r="E42" s="6" t="n">
        <f aca="false">'Employee Master'!M42</f>
        <v>17600</v>
      </c>
      <c r="F42" s="6" t="n">
        <f aca="false">$N$5</f>
        <v>1600</v>
      </c>
      <c r="G42" s="6" t="n">
        <f aca="false">D42+E42+F42</f>
        <v>63200</v>
      </c>
      <c r="H42" s="6" t="n">
        <f aca="false">MIN(D42*$N$6,$N$7)</f>
        <v>1800</v>
      </c>
      <c r="I42" s="6" t="n">
        <f aca="false">$N$8</f>
        <v>200</v>
      </c>
      <c r="J42" s="6" t="n">
        <f aca="false">H42+I42</f>
        <v>2000</v>
      </c>
      <c r="K42" s="6" t="n">
        <f aca="false">G42-J42</f>
        <v>61200</v>
      </c>
    </row>
    <row r="43" customFormat="false" ht="15" hidden="false" customHeight="false" outlineLevel="0" collapsed="false">
      <c r="A43" s="4" t="str">
        <f aca="false">'Employee Master'!A43</f>
        <v>EMP1038</v>
      </c>
      <c r="B43" s="4" t="str">
        <f aca="false">CONCATENATE('Employee Master'!B43," ",'Employee Master'!C43)</f>
        <v>Aadhya Shah</v>
      </c>
      <c r="C43" s="4" t="str">
        <f aca="false">'Employee Master'!D43</f>
        <v>Operations</v>
      </c>
      <c r="D43" s="6" t="n">
        <f aca="false">'Employee Master'!L43</f>
        <v>51000</v>
      </c>
      <c r="E43" s="6" t="n">
        <f aca="false">'Employee Master'!M43</f>
        <v>20400</v>
      </c>
      <c r="F43" s="6" t="n">
        <f aca="false">$N$5</f>
        <v>1600</v>
      </c>
      <c r="G43" s="6" t="n">
        <f aca="false">D43+E43+F43</f>
        <v>73000</v>
      </c>
      <c r="H43" s="6" t="n">
        <f aca="false">MIN(D43*$N$6,$N$7)</f>
        <v>1800</v>
      </c>
      <c r="I43" s="6" t="n">
        <f aca="false">$N$8</f>
        <v>200</v>
      </c>
      <c r="J43" s="6" t="n">
        <f aca="false">H43+I43</f>
        <v>2000</v>
      </c>
      <c r="K43" s="6" t="n">
        <f aca="false">G43-J43</f>
        <v>71000</v>
      </c>
    </row>
    <row r="44" customFormat="false" ht="15" hidden="false" customHeight="false" outlineLevel="0" collapsed="false">
      <c r="A44" s="4" t="str">
        <f aca="false">'Employee Master'!A44</f>
        <v>EMP1039</v>
      </c>
      <c r="B44" s="4" t="str">
        <f aca="false">CONCATENATE('Employee Master'!B44," ",'Employee Master'!C44)</f>
        <v>Navya Verma</v>
      </c>
      <c r="C44" s="4" t="str">
        <f aca="false">'Employee Master'!D44</f>
        <v>Engineering</v>
      </c>
      <c r="D44" s="6" t="n">
        <f aca="false">'Employee Master'!L44</f>
        <v>51330</v>
      </c>
      <c r="E44" s="6" t="n">
        <f aca="false">'Employee Master'!M44</f>
        <v>20530</v>
      </c>
      <c r="F44" s="6" t="n">
        <f aca="false">$N$5</f>
        <v>1600</v>
      </c>
      <c r="G44" s="6" t="n">
        <f aca="false">D44+E44+F44</f>
        <v>73460</v>
      </c>
      <c r="H44" s="6" t="n">
        <f aca="false">MIN(D44*$N$6,$N$7)</f>
        <v>1800</v>
      </c>
      <c r="I44" s="6" t="n">
        <f aca="false">$N$8</f>
        <v>200</v>
      </c>
      <c r="J44" s="6" t="n">
        <f aca="false">H44+I44</f>
        <v>2000</v>
      </c>
      <c r="K44" s="6" t="n">
        <f aca="false">G44-J44</f>
        <v>71460</v>
      </c>
    </row>
    <row r="45" customFormat="false" ht="15" hidden="false" customHeight="false" outlineLevel="0" collapsed="false">
      <c r="A45" s="4" t="str">
        <f aca="false">'Employee Master'!A45</f>
        <v>EMP1040</v>
      </c>
      <c r="B45" s="4" t="str">
        <f aca="false">CONCATENATE('Employee Master'!B45," ",'Employee Master'!C45)</f>
        <v>Charlotte Sharma</v>
      </c>
      <c r="C45" s="4" t="str">
        <f aca="false">'Employee Master'!D45</f>
        <v>Engineering</v>
      </c>
      <c r="D45" s="6" t="n">
        <f aca="false">'Employee Master'!L45</f>
        <v>27330</v>
      </c>
      <c r="E45" s="6" t="n">
        <f aca="false">'Employee Master'!M45</f>
        <v>10930</v>
      </c>
      <c r="F45" s="6" t="n">
        <f aca="false">$N$5</f>
        <v>1600</v>
      </c>
      <c r="G45" s="6" t="n">
        <f aca="false">D45+E45+F45</f>
        <v>39860</v>
      </c>
      <c r="H45" s="6" t="n">
        <f aca="false">MIN(D45*$N$6,$N$7)</f>
        <v>1800</v>
      </c>
      <c r="I45" s="6" t="n">
        <f aca="false">$N$8</f>
        <v>200</v>
      </c>
      <c r="J45" s="6" t="n">
        <f aca="false">H45+I45</f>
        <v>2000</v>
      </c>
      <c r="K45" s="6" t="n">
        <f aca="false">G45-J45</f>
        <v>37860</v>
      </c>
    </row>
    <row r="46" customFormat="false" ht="15" hidden="false" customHeight="false" outlineLevel="0" collapsed="false">
      <c r="A46" s="4" t="str">
        <f aca="false">'Employee Master'!A46</f>
        <v>EMP1041</v>
      </c>
      <c r="B46" s="4" t="str">
        <f aca="false">CONCATENATE('Employee Master'!B46," ",'Employee Master'!C46)</f>
        <v>Andrew Iyer</v>
      </c>
      <c r="C46" s="4" t="str">
        <f aca="false">'Employee Master'!D46</f>
        <v>Engineering</v>
      </c>
      <c r="D46" s="6" t="n">
        <f aca="false">'Employee Master'!L46</f>
        <v>36000</v>
      </c>
      <c r="E46" s="6" t="n">
        <f aca="false">'Employee Master'!M46</f>
        <v>14400</v>
      </c>
      <c r="F46" s="6" t="n">
        <f aca="false">$N$5</f>
        <v>1600</v>
      </c>
      <c r="G46" s="6" t="n">
        <f aca="false">D46+E46+F46</f>
        <v>52000</v>
      </c>
      <c r="H46" s="6" t="n">
        <f aca="false">MIN(D46*$N$6,$N$7)</f>
        <v>1800</v>
      </c>
      <c r="I46" s="6" t="n">
        <f aca="false">$N$8</f>
        <v>200</v>
      </c>
      <c r="J46" s="6" t="n">
        <f aca="false">H46+I46</f>
        <v>2000</v>
      </c>
      <c r="K46" s="6" t="n">
        <f aca="false">G46-J46</f>
        <v>50000</v>
      </c>
    </row>
    <row r="47" customFormat="false" ht="15" hidden="false" customHeight="false" outlineLevel="0" collapsed="false">
      <c r="A47" s="4" t="str">
        <f aca="false">'Employee Master'!A47</f>
        <v>EMP1042</v>
      </c>
      <c r="B47" s="4" t="str">
        <f aca="false">CONCATENATE('Employee Master'!B47," ",'Employee Master'!C47)</f>
        <v>Hiro Reddy</v>
      </c>
      <c r="C47" s="4" t="str">
        <f aca="false">'Employee Master'!D47</f>
        <v>Marketing</v>
      </c>
      <c r="D47" s="6" t="n">
        <f aca="false">'Employee Master'!L47</f>
        <v>30000</v>
      </c>
      <c r="E47" s="6" t="n">
        <f aca="false">'Employee Master'!M47</f>
        <v>12000</v>
      </c>
      <c r="F47" s="6" t="n">
        <f aca="false">$N$5</f>
        <v>1600</v>
      </c>
      <c r="G47" s="6" t="n">
        <f aca="false">D47+E47+F47</f>
        <v>43600</v>
      </c>
      <c r="H47" s="6" t="n">
        <f aca="false">MIN(D47*$N$6,$N$7)</f>
        <v>1800</v>
      </c>
      <c r="I47" s="6" t="n">
        <f aca="false">$N$8</f>
        <v>200</v>
      </c>
      <c r="J47" s="6" t="n">
        <f aca="false">H47+I47</f>
        <v>2000</v>
      </c>
      <c r="K47" s="6" t="n">
        <f aca="false">G47-J47</f>
        <v>41600</v>
      </c>
    </row>
    <row r="48" customFormat="false" ht="15" hidden="false" customHeight="false" outlineLevel="0" collapsed="false">
      <c r="A48" s="4" t="str">
        <f aca="false">'Employee Master'!A48</f>
        <v>EMP1043</v>
      </c>
      <c r="B48" s="4" t="str">
        <f aca="false">CONCATENATE('Employee Master'!B48," ",'Employee Master'!C48)</f>
        <v>Matthew Sharma</v>
      </c>
      <c r="C48" s="4" t="str">
        <f aca="false">'Employee Master'!D48</f>
        <v>Sales</v>
      </c>
      <c r="D48" s="6" t="n">
        <f aca="false">'Employee Master'!L48</f>
        <v>24000</v>
      </c>
      <c r="E48" s="6" t="n">
        <f aca="false">'Employee Master'!M48</f>
        <v>9600</v>
      </c>
      <c r="F48" s="6" t="n">
        <f aca="false">$N$5</f>
        <v>1600</v>
      </c>
      <c r="G48" s="6" t="n">
        <f aca="false">D48+E48+F48</f>
        <v>35200</v>
      </c>
      <c r="H48" s="6" t="n">
        <f aca="false">MIN(D48*$N$6,$N$7)</f>
        <v>1800</v>
      </c>
      <c r="I48" s="6" t="n">
        <f aca="false">$N$8</f>
        <v>200</v>
      </c>
      <c r="J48" s="6" t="n">
        <f aca="false">H48+I48</f>
        <v>2000</v>
      </c>
      <c r="K48" s="6" t="n">
        <f aca="false">G48-J48</f>
        <v>33200</v>
      </c>
    </row>
    <row r="49" customFormat="false" ht="15" hidden="false" customHeight="false" outlineLevel="0" collapsed="false">
      <c r="A49" s="4" t="str">
        <f aca="false">'Employee Master'!A49</f>
        <v>EMP1044</v>
      </c>
      <c r="B49" s="4" t="str">
        <f aca="false">CONCATENATE('Employee Master'!B49," ",'Employee Master'!C49)</f>
        <v>David Roy</v>
      </c>
      <c r="C49" s="4" t="str">
        <f aca="false">'Employee Master'!D49</f>
        <v>Engineering</v>
      </c>
      <c r="D49" s="6" t="n">
        <f aca="false">'Employee Master'!L49</f>
        <v>41000</v>
      </c>
      <c r="E49" s="6" t="n">
        <f aca="false">'Employee Master'!M49</f>
        <v>16400</v>
      </c>
      <c r="F49" s="6" t="n">
        <f aca="false">$N$5</f>
        <v>1600</v>
      </c>
      <c r="G49" s="6" t="n">
        <f aca="false">D49+E49+F49</f>
        <v>59000</v>
      </c>
      <c r="H49" s="6" t="n">
        <f aca="false">MIN(D49*$N$6,$N$7)</f>
        <v>1800</v>
      </c>
      <c r="I49" s="6" t="n">
        <f aca="false">$N$8</f>
        <v>200</v>
      </c>
      <c r="J49" s="6" t="n">
        <f aca="false">H49+I49</f>
        <v>2000</v>
      </c>
      <c r="K49" s="6" t="n">
        <f aca="false">G49-J49</f>
        <v>57000</v>
      </c>
    </row>
    <row r="50" customFormat="false" ht="15" hidden="false" customHeight="false" outlineLevel="0" collapsed="false">
      <c r="A50" s="4" t="str">
        <f aca="false">'Employee Master'!A50</f>
        <v>EMP1045</v>
      </c>
      <c r="B50" s="4" t="str">
        <f aca="false">CONCATENATE('Employee Master'!B50," ",'Employee Master'!C50)</f>
        <v>Kiara Mehta</v>
      </c>
      <c r="C50" s="4" t="str">
        <f aca="false">'Employee Master'!D50</f>
        <v>Engineering</v>
      </c>
      <c r="D50" s="6" t="n">
        <f aca="false">'Employee Master'!L50</f>
        <v>38670</v>
      </c>
      <c r="E50" s="6" t="n">
        <f aca="false">'Employee Master'!M50</f>
        <v>15470</v>
      </c>
      <c r="F50" s="6" t="n">
        <f aca="false">$N$5</f>
        <v>1600</v>
      </c>
      <c r="G50" s="6" t="n">
        <f aca="false">D50+E50+F50</f>
        <v>55740</v>
      </c>
      <c r="H50" s="6" t="n">
        <f aca="false">MIN(D50*$N$6,$N$7)</f>
        <v>1800</v>
      </c>
      <c r="I50" s="6" t="n">
        <f aca="false">$N$8</f>
        <v>200</v>
      </c>
      <c r="J50" s="6" t="n">
        <f aca="false">H50+I50</f>
        <v>2000</v>
      </c>
      <c r="K50" s="6" t="n">
        <f aca="false">G50-J50</f>
        <v>53740</v>
      </c>
    </row>
    <row r="51" customFormat="false" ht="15" hidden="false" customHeight="false" outlineLevel="0" collapsed="false">
      <c r="A51" s="4" t="str">
        <f aca="false">'Employee Master'!A51</f>
        <v>EMP1046</v>
      </c>
      <c r="B51" s="4" t="str">
        <f aca="false">CONCATENATE('Employee Master'!B51," ",'Employee Master'!C51)</f>
        <v>Robert Patel</v>
      </c>
      <c r="C51" s="4" t="str">
        <f aca="false">'Employee Master'!D51</f>
        <v>Finance</v>
      </c>
      <c r="D51" s="6" t="n">
        <f aca="false">'Employee Master'!L51</f>
        <v>37330</v>
      </c>
      <c r="E51" s="6" t="n">
        <f aca="false">'Employee Master'!M51</f>
        <v>14930</v>
      </c>
      <c r="F51" s="6" t="n">
        <f aca="false">$N$5</f>
        <v>1600</v>
      </c>
      <c r="G51" s="6" t="n">
        <f aca="false">D51+E51+F51</f>
        <v>53860</v>
      </c>
      <c r="H51" s="6" t="n">
        <f aca="false">MIN(D51*$N$6,$N$7)</f>
        <v>1800</v>
      </c>
      <c r="I51" s="6" t="n">
        <f aca="false">$N$8</f>
        <v>200</v>
      </c>
      <c r="J51" s="6" t="n">
        <f aca="false">H51+I51</f>
        <v>2000</v>
      </c>
      <c r="K51" s="6" t="n">
        <f aca="false">G51-J51</f>
        <v>51860</v>
      </c>
    </row>
    <row r="52" customFormat="false" ht="15" hidden="false" customHeight="false" outlineLevel="0" collapsed="false">
      <c r="A52" s="4" t="str">
        <f aca="false">'Employee Master'!A52</f>
        <v>EMP1047</v>
      </c>
      <c r="B52" s="4" t="str">
        <f aca="false">CONCATENATE('Employee Master'!B52," ",'Employee Master'!C52)</f>
        <v>Aditya Reddy</v>
      </c>
      <c r="C52" s="4" t="str">
        <f aca="false">'Employee Master'!D52</f>
        <v>Finance</v>
      </c>
      <c r="D52" s="6" t="n">
        <f aca="false">'Employee Master'!L52</f>
        <v>47670</v>
      </c>
      <c r="E52" s="6" t="n">
        <f aca="false">'Employee Master'!M52</f>
        <v>19070</v>
      </c>
      <c r="F52" s="6" t="n">
        <f aca="false">$N$5</f>
        <v>1600</v>
      </c>
      <c r="G52" s="6" t="n">
        <f aca="false">D52+E52+F52</f>
        <v>68340</v>
      </c>
      <c r="H52" s="6" t="n">
        <f aca="false">MIN(D52*$N$6,$N$7)</f>
        <v>1800</v>
      </c>
      <c r="I52" s="6" t="n">
        <f aca="false">$N$8</f>
        <v>200</v>
      </c>
      <c r="J52" s="6" t="n">
        <f aca="false">H52+I52</f>
        <v>2000</v>
      </c>
      <c r="K52" s="6" t="n">
        <f aca="false">G52-J52</f>
        <v>66340</v>
      </c>
    </row>
    <row r="53" customFormat="false" ht="15" hidden="false" customHeight="false" outlineLevel="0" collapsed="false">
      <c r="A53" s="4" t="str">
        <f aca="false">'Employee Master'!A53</f>
        <v>EMP1048</v>
      </c>
      <c r="B53" s="4" t="str">
        <f aca="false">CONCATENATE('Employee Master'!B53," ",'Employee Master'!C53)</f>
        <v>Amelia Rao</v>
      </c>
      <c r="C53" s="4" t="str">
        <f aca="false">'Employee Master'!D53</f>
        <v>Marketing</v>
      </c>
      <c r="D53" s="6" t="n">
        <f aca="false">'Employee Master'!L53</f>
        <v>31670</v>
      </c>
      <c r="E53" s="6" t="n">
        <f aca="false">'Employee Master'!M53</f>
        <v>12670</v>
      </c>
      <c r="F53" s="6" t="n">
        <f aca="false">$N$5</f>
        <v>1600</v>
      </c>
      <c r="G53" s="6" t="n">
        <f aca="false">D53+E53+F53</f>
        <v>45940</v>
      </c>
      <c r="H53" s="6" t="n">
        <f aca="false">MIN(D53*$N$6,$N$7)</f>
        <v>1800</v>
      </c>
      <c r="I53" s="6" t="n">
        <f aca="false">$N$8</f>
        <v>200</v>
      </c>
      <c r="J53" s="6" t="n">
        <f aca="false">H53+I53</f>
        <v>2000</v>
      </c>
      <c r="K53" s="6" t="n">
        <f aca="false">G53-J53</f>
        <v>43940</v>
      </c>
    </row>
    <row r="54" customFormat="false" ht="15" hidden="false" customHeight="false" outlineLevel="0" collapsed="false">
      <c r="A54" s="4" t="str">
        <f aca="false">'Employee Master'!A54</f>
        <v>EMP1049</v>
      </c>
      <c r="B54" s="4" t="str">
        <f aca="false">CONCATENATE('Employee Master'!B54," ",'Employee Master'!C54)</f>
        <v>Michael Brown</v>
      </c>
      <c r="C54" s="4" t="str">
        <f aca="false">'Employee Master'!D54</f>
        <v>Engineering</v>
      </c>
      <c r="D54" s="6" t="n">
        <f aca="false">'Employee Master'!L54</f>
        <v>41330</v>
      </c>
      <c r="E54" s="6" t="n">
        <f aca="false">'Employee Master'!M54</f>
        <v>16530</v>
      </c>
      <c r="F54" s="6" t="n">
        <f aca="false">$N$5</f>
        <v>1600</v>
      </c>
      <c r="G54" s="6" t="n">
        <f aca="false">D54+E54+F54</f>
        <v>59460</v>
      </c>
      <c r="H54" s="6" t="n">
        <f aca="false">MIN(D54*$N$6,$N$7)</f>
        <v>1800</v>
      </c>
      <c r="I54" s="6" t="n">
        <f aca="false">$N$8</f>
        <v>200</v>
      </c>
      <c r="J54" s="6" t="n">
        <f aca="false">H54+I54</f>
        <v>2000</v>
      </c>
      <c r="K54" s="6" t="n">
        <f aca="false">G54-J54</f>
        <v>57460</v>
      </c>
    </row>
    <row r="55" customFormat="false" ht="15" hidden="false" customHeight="false" outlineLevel="0" collapsed="false">
      <c r="A55" s="4" t="str">
        <f aca="false">'Employee Master'!A55</f>
        <v>EMP1050</v>
      </c>
      <c r="B55" s="4" t="str">
        <f aca="false">CONCATENATE('Employee Master'!B55," ",'Employee Master'!C55)</f>
        <v>Hiro Brown</v>
      </c>
      <c r="C55" s="4" t="str">
        <f aca="false">'Employee Master'!D55</f>
        <v>Marketing</v>
      </c>
      <c r="D55" s="6" t="n">
        <f aca="false">'Employee Master'!L55</f>
        <v>47330</v>
      </c>
      <c r="E55" s="6" t="n">
        <f aca="false">'Employee Master'!M55</f>
        <v>18930</v>
      </c>
      <c r="F55" s="6" t="n">
        <f aca="false">$N$5</f>
        <v>1600</v>
      </c>
      <c r="G55" s="6" t="n">
        <f aca="false">D55+E55+F55</f>
        <v>67860</v>
      </c>
      <c r="H55" s="6" t="n">
        <f aca="false">MIN(D55*$N$6,$N$7)</f>
        <v>1800</v>
      </c>
      <c r="I55" s="6" t="n">
        <f aca="false">$N$8</f>
        <v>200</v>
      </c>
      <c r="J55" s="6" t="n">
        <f aca="false">H55+I55</f>
        <v>2000</v>
      </c>
      <c r="K55" s="6" t="n">
        <f aca="false">G55-J55</f>
        <v>65860</v>
      </c>
    </row>
    <row r="56" customFormat="false" ht="15" hidden="false" customHeight="false" outlineLevel="0" collapsed="false">
      <c r="A56" s="4" t="str">
        <f aca="false">'Employee Master'!A56</f>
        <v>EMP1051</v>
      </c>
      <c r="B56" s="4" t="str">
        <f aca="false">CONCATENATE('Employee Master'!B56," ",'Employee Master'!C56)</f>
        <v>Yuki Malhotra</v>
      </c>
      <c r="C56" s="4" t="str">
        <f aca="false">'Employee Master'!D56</f>
        <v>Sales</v>
      </c>
      <c r="D56" s="6" t="n">
        <f aca="false">'Employee Master'!L56</f>
        <v>51670</v>
      </c>
      <c r="E56" s="6" t="n">
        <f aca="false">'Employee Master'!M56</f>
        <v>20670</v>
      </c>
      <c r="F56" s="6" t="n">
        <f aca="false">$N$5</f>
        <v>1600</v>
      </c>
      <c r="G56" s="6" t="n">
        <f aca="false">D56+E56+F56</f>
        <v>73940</v>
      </c>
      <c r="H56" s="6" t="n">
        <f aca="false">MIN(D56*$N$6,$N$7)</f>
        <v>1800</v>
      </c>
      <c r="I56" s="6" t="n">
        <f aca="false">$N$8</f>
        <v>200</v>
      </c>
      <c r="J56" s="6" t="n">
        <f aca="false">H56+I56</f>
        <v>2000</v>
      </c>
      <c r="K56" s="6" t="n">
        <f aca="false">G56-J56</f>
        <v>71940</v>
      </c>
    </row>
    <row r="57" customFormat="false" ht="15" hidden="false" customHeight="false" outlineLevel="0" collapsed="false">
      <c r="A57" s="4" t="str">
        <f aca="false">'Employee Master'!A57</f>
        <v>EMP1052</v>
      </c>
      <c r="B57" s="4" t="str">
        <f aca="false">CONCATENATE('Employee Master'!B57," ",'Employee Master'!C57)</f>
        <v>Harper Anderson</v>
      </c>
      <c r="C57" s="4" t="str">
        <f aca="false">'Employee Master'!D57</f>
        <v>Operations</v>
      </c>
      <c r="D57" s="6" t="n">
        <f aca="false">'Employee Master'!L57</f>
        <v>55330</v>
      </c>
      <c r="E57" s="6" t="n">
        <f aca="false">'Employee Master'!M57</f>
        <v>22130</v>
      </c>
      <c r="F57" s="6" t="n">
        <f aca="false">$N$5</f>
        <v>1600</v>
      </c>
      <c r="G57" s="6" t="n">
        <f aca="false">D57+E57+F57</f>
        <v>79060</v>
      </c>
      <c r="H57" s="6" t="n">
        <f aca="false">MIN(D57*$N$6,$N$7)</f>
        <v>1800</v>
      </c>
      <c r="I57" s="6" t="n">
        <f aca="false">$N$8</f>
        <v>200</v>
      </c>
      <c r="J57" s="6" t="n">
        <f aca="false">H57+I57</f>
        <v>2000</v>
      </c>
      <c r="K57" s="6" t="n">
        <f aca="false">G57-J57</f>
        <v>77060</v>
      </c>
    </row>
    <row r="58" customFormat="false" ht="15" hidden="false" customHeight="false" outlineLevel="0" collapsed="false">
      <c r="A58" s="4" t="str">
        <f aca="false">'Employee Master'!A58</f>
        <v>EMP1053</v>
      </c>
      <c r="B58" s="4" t="str">
        <f aca="false">CONCATENATE('Employee Master'!B58," ",'Employee Master'!C58)</f>
        <v>Jae Nair</v>
      </c>
      <c r="C58" s="4" t="str">
        <f aca="false">'Employee Master'!D58</f>
        <v>Operations</v>
      </c>
      <c r="D58" s="6" t="n">
        <f aca="false">'Employee Master'!L58</f>
        <v>41330</v>
      </c>
      <c r="E58" s="6" t="n">
        <f aca="false">'Employee Master'!M58</f>
        <v>16530</v>
      </c>
      <c r="F58" s="6" t="n">
        <f aca="false">$N$5</f>
        <v>1600</v>
      </c>
      <c r="G58" s="6" t="n">
        <f aca="false">D58+E58+F58</f>
        <v>59460</v>
      </c>
      <c r="H58" s="6" t="n">
        <f aca="false">MIN(D58*$N$6,$N$7)</f>
        <v>1800</v>
      </c>
      <c r="I58" s="6" t="n">
        <f aca="false">$N$8</f>
        <v>200</v>
      </c>
      <c r="J58" s="6" t="n">
        <f aca="false">H58+I58</f>
        <v>2000</v>
      </c>
      <c r="K58" s="6" t="n">
        <f aca="false">G58-J58</f>
        <v>57460</v>
      </c>
    </row>
    <row r="59" customFormat="false" ht="15" hidden="false" customHeight="false" outlineLevel="0" collapsed="false">
      <c r="A59" s="4" t="str">
        <f aca="false">'Employee Master'!A59</f>
        <v>EMP1054</v>
      </c>
      <c r="B59" s="4" t="str">
        <f aca="false">CONCATENATE('Employee Master'!B59," ",'Employee Master'!C59)</f>
        <v>Kiara Chatterjee</v>
      </c>
      <c r="C59" s="4" t="str">
        <f aca="false">'Employee Master'!D59</f>
        <v>Sales</v>
      </c>
      <c r="D59" s="6" t="n">
        <f aca="false">'Employee Master'!L59</f>
        <v>21000</v>
      </c>
      <c r="E59" s="6" t="n">
        <f aca="false">'Employee Master'!M59</f>
        <v>8400</v>
      </c>
      <c r="F59" s="6" t="n">
        <f aca="false">$N$5</f>
        <v>1600</v>
      </c>
      <c r="G59" s="6" t="n">
        <f aca="false">D59+E59+F59</f>
        <v>31000</v>
      </c>
      <c r="H59" s="6" t="n">
        <f aca="false">MIN(D59*$N$6,$N$7)</f>
        <v>1800</v>
      </c>
      <c r="I59" s="6" t="n">
        <f aca="false">$N$8</f>
        <v>200</v>
      </c>
      <c r="J59" s="6" t="n">
        <f aca="false">H59+I59</f>
        <v>2000</v>
      </c>
      <c r="K59" s="6" t="n">
        <f aca="false">G59-J59</f>
        <v>29000</v>
      </c>
    </row>
    <row r="60" customFormat="false" ht="15" hidden="false" customHeight="false" outlineLevel="0" collapsed="false">
      <c r="A60" s="4" t="str">
        <f aca="false">'Employee Master'!A60</f>
        <v>EMP1055</v>
      </c>
      <c r="B60" s="4" t="str">
        <f aca="false">CONCATENATE('Employee Master'!B60," ",'Employee Master'!C60)</f>
        <v>Ryan Brown</v>
      </c>
      <c r="C60" s="4" t="str">
        <f aca="false">'Employee Master'!D60</f>
        <v>Operations</v>
      </c>
      <c r="D60" s="6" t="n">
        <f aca="false">'Employee Master'!L60</f>
        <v>27330</v>
      </c>
      <c r="E60" s="6" t="n">
        <f aca="false">'Employee Master'!M60</f>
        <v>10930</v>
      </c>
      <c r="F60" s="6" t="n">
        <f aca="false">$N$5</f>
        <v>1600</v>
      </c>
      <c r="G60" s="6" t="n">
        <f aca="false">D60+E60+F60</f>
        <v>39860</v>
      </c>
      <c r="H60" s="6" t="n">
        <f aca="false">MIN(D60*$N$6,$N$7)</f>
        <v>1800</v>
      </c>
      <c r="I60" s="6" t="n">
        <f aca="false">$N$8</f>
        <v>200</v>
      </c>
      <c r="J60" s="6" t="n">
        <f aca="false">H60+I60</f>
        <v>2000</v>
      </c>
      <c r="K60" s="6" t="n">
        <f aca="false">G60-J60</f>
        <v>37860</v>
      </c>
    </row>
    <row r="61" customFormat="false" ht="15" hidden="false" customHeight="false" outlineLevel="0" collapsed="false">
      <c r="A61" s="4" t="str">
        <f aca="false">'Employee Master'!A61</f>
        <v>EMP1056</v>
      </c>
      <c r="B61" s="4" t="str">
        <f aca="false">CONCATENATE('Employee Master'!B61," ",'Employee Master'!C61)</f>
        <v>Jun Chopra</v>
      </c>
      <c r="C61" s="4" t="str">
        <f aca="false">'Employee Master'!D61</f>
        <v>Engineering</v>
      </c>
      <c r="D61" s="6" t="n">
        <f aca="false">'Employee Master'!L61</f>
        <v>19000</v>
      </c>
      <c r="E61" s="6" t="n">
        <f aca="false">'Employee Master'!M61</f>
        <v>7600</v>
      </c>
      <c r="F61" s="6" t="n">
        <f aca="false">$N$5</f>
        <v>1600</v>
      </c>
      <c r="G61" s="6" t="n">
        <f aca="false">D61+E61+F61</f>
        <v>28200</v>
      </c>
      <c r="H61" s="6" t="n">
        <f aca="false">MIN(D61*$N$6,$N$7)</f>
        <v>1800</v>
      </c>
      <c r="I61" s="6" t="n">
        <f aca="false">$N$8</f>
        <v>200</v>
      </c>
      <c r="J61" s="6" t="n">
        <f aca="false">H61+I61</f>
        <v>2000</v>
      </c>
      <c r="K61" s="6" t="n">
        <f aca="false">G61-J61</f>
        <v>26200</v>
      </c>
    </row>
    <row r="62" customFormat="false" ht="15" hidden="false" customHeight="false" outlineLevel="0" collapsed="false">
      <c r="A62" s="4" t="str">
        <f aca="false">'Employee Master'!A62</f>
        <v>EMP1057</v>
      </c>
      <c r="B62" s="4" t="str">
        <f aca="false">CONCATENATE('Employee Master'!B62," ",'Employee Master'!C62)</f>
        <v>Charlotte Mehta</v>
      </c>
      <c r="C62" s="4" t="str">
        <f aca="false">'Employee Master'!D62</f>
        <v>Engineering</v>
      </c>
      <c r="D62" s="6" t="n">
        <f aca="false">'Employee Master'!L62</f>
        <v>42000</v>
      </c>
      <c r="E62" s="6" t="n">
        <f aca="false">'Employee Master'!M62</f>
        <v>16800</v>
      </c>
      <c r="F62" s="6" t="n">
        <f aca="false">$N$5</f>
        <v>1600</v>
      </c>
      <c r="G62" s="6" t="n">
        <f aca="false">D62+E62+F62</f>
        <v>60400</v>
      </c>
      <c r="H62" s="6" t="n">
        <f aca="false">MIN(D62*$N$6,$N$7)</f>
        <v>1800</v>
      </c>
      <c r="I62" s="6" t="n">
        <f aca="false">$N$8</f>
        <v>200</v>
      </c>
      <c r="J62" s="6" t="n">
        <f aca="false">H62+I62</f>
        <v>2000</v>
      </c>
      <c r="K62" s="6" t="n">
        <f aca="false">G62-J62</f>
        <v>58400</v>
      </c>
    </row>
    <row r="63" customFormat="false" ht="15" hidden="false" customHeight="false" outlineLevel="0" collapsed="false">
      <c r="A63" s="4" t="str">
        <f aca="false">'Employee Master'!A63</f>
        <v>EMP1058</v>
      </c>
      <c r="B63" s="4" t="str">
        <f aca="false">CONCATENATE('Employee Master'!B63," ",'Employee Master'!C63)</f>
        <v>Sofia Sen</v>
      </c>
      <c r="C63" s="4" t="str">
        <f aca="false">'Employee Master'!D63</f>
        <v>HR</v>
      </c>
      <c r="D63" s="6" t="n">
        <f aca="false">'Employee Master'!L63</f>
        <v>37000</v>
      </c>
      <c r="E63" s="6" t="n">
        <f aca="false">'Employee Master'!M63</f>
        <v>14800</v>
      </c>
      <c r="F63" s="6" t="n">
        <f aca="false">$N$5</f>
        <v>1600</v>
      </c>
      <c r="G63" s="6" t="n">
        <f aca="false">D63+E63+F63</f>
        <v>53400</v>
      </c>
      <c r="H63" s="6" t="n">
        <f aca="false">MIN(D63*$N$6,$N$7)</f>
        <v>1800</v>
      </c>
      <c r="I63" s="6" t="n">
        <f aca="false">$N$8</f>
        <v>200</v>
      </c>
      <c r="J63" s="6" t="n">
        <f aca="false">H63+I63</f>
        <v>2000</v>
      </c>
      <c r="K63" s="6" t="n">
        <f aca="false">G63-J63</f>
        <v>51400</v>
      </c>
    </row>
    <row r="64" customFormat="false" ht="15" hidden="false" customHeight="false" outlineLevel="0" collapsed="false">
      <c r="A64" s="4" t="str">
        <f aca="false">'Employee Master'!A64</f>
        <v>EMP1059</v>
      </c>
      <c r="B64" s="4" t="str">
        <f aca="false">CONCATENATE('Employee Master'!B64," ",'Employee Master'!C64)</f>
        <v>Sofia Mehta</v>
      </c>
      <c r="C64" s="4" t="str">
        <f aca="false">'Employee Master'!D64</f>
        <v>Operations</v>
      </c>
      <c r="D64" s="6" t="n">
        <f aca="false">'Employee Master'!L64</f>
        <v>39330</v>
      </c>
      <c r="E64" s="6" t="n">
        <f aca="false">'Employee Master'!M64</f>
        <v>15730</v>
      </c>
      <c r="F64" s="6" t="n">
        <f aca="false">$N$5</f>
        <v>1600</v>
      </c>
      <c r="G64" s="6" t="n">
        <f aca="false">D64+E64+F64</f>
        <v>56660</v>
      </c>
      <c r="H64" s="6" t="n">
        <f aca="false">MIN(D64*$N$6,$N$7)</f>
        <v>1800</v>
      </c>
      <c r="I64" s="6" t="n">
        <f aca="false">$N$8</f>
        <v>200</v>
      </c>
      <c r="J64" s="6" t="n">
        <f aca="false">H64+I64</f>
        <v>2000</v>
      </c>
      <c r="K64" s="6" t="n">
        <f aca="false">G64-J64</f>
        <v>54660</v>
      </c>
    </row>
    <row r="65" customFormat="false" ht="15" hidden="false" customHeight="false" outlineLevel="0" collapsed="false">
      <c r="A65" s="4" t="str">
        <f aca="false">'Employee Master'!A65</f>
        <v>EMP1060</v>
      </c>
      <c r="B65" s="4" t="str">
        <f aca="false">CONCATENATE('Employee Master'!B65," ",'Employee Master'!C65)</f>
        <v>Myra Kapoor</v>
      </c>
      <c r="C65" s="4" t="str">
        <f aca="false">'Employee Master'!D65</f>
        <v>Marketing</v>
      </c>
      <c r="D65" s="6" t="n">
        <f aca="false">'Employee Master'!L65</f>
        <v>28000</v>
      </c>
      <c r="E65" s="6" t="n">
        <f aca="false">'Employee Master'!M65</f>
        <v>11200</v>
      </c>
      <c r="F65" s="6" t="n">
        <f aca="false">$N$5</f>
        <v>1600</v>
      </c>
      <c r="G65" s="6" t="n">
        <f aca="false">D65+E65+F65</f>
        <v>40800</v>
      </c>
      <c r="H65" s="6" t="n">
        <f aca="false">MIN(D65*$N$6,$N$7)</f>
        <v>1800</v>
      </c>
      <c r="I65" s="6" t="n">
        <f aca="false">$N$8</f>
        <v>200</v>
      </c>
      <c r="J65" s="6" t="n">
        <f aca="false">H65+I65</f>
        <v>2000</v>
      </c>
      <c r="K65" s="6" t="n">
        <f aca="false">G65-J65</f>
        <v>38800</v>
      </c>
    </row>
    <row r="66" customFormat="false" ht="15" hidden="false" customHeight="false" outlineLevel="0" collapsed="false">
      <c r="A66" s="4" t="str">
        <f aca="false">'Employee Master'!A66</f>
        <v>EMP1061</v>
      </c>
      <c r="B66" s="4" t="str">
        <f aca="false">CONCATENATE('Employee Master'!B66," ",'Employee Master'!C66)</f>
        <v>Li Rao</v>
      </c>
      <c r="C66" s="4" t="str">
        <f aca="false">'Employee Master'!D66</f>
        <v>Engineering</v>
      </c>
      <c r="D66" s="6" t="n">
        <f aca="false">'Employee Master'!L66</f>
        <v>20000</v>
      </c>
      <c r="E66" s="6" t="n">
        <f aca="false">'Employee Master'!M66</f>
        <v>8000</v>
      </c>
      <c r="F66" s="6" t="n">
        <f aca="false">$N$5</f>
        <v>1600</v>
      </c>
      <c r="G66" s="6" t="n">
        <f aca="false">D66+E66+F66</f>
        <v>29600</v>
      </c>
      <c r="H66" s="6" t="n">
        <f aca="false">MIN(D66*$N$6,$N$7)</f>
        <v>1800</v>
      </c>
      <c r="I66" s="6" t="n">
        <f aca="false">$N$8</f>
        <v>200</v>
      </c>
      <c r="J66" s="6" t="n">
        <f aca="false">H66+I66</f>
        <v>2000</v>
      </c>
      <c r="K66" s="6" t="n">
        <f aca="false">G66-J66</f>
        <v>27600</v>
      </c>
    </row>
    <row r="67" customFormat="false" ht="15" hidden="false" customHeight="false" outlineLevel="0" collapsed="false">
      <c r="A67" s="4" t="str">
        <f aca="false">'Employee Master'!A67</f>
        <v>EMP1062</v>
      </c>
      <c r="B67" s="4" t="str">
        <f aca="false">CONCATENATE('Employee Master'!B67," ",'Employee Master'!C67)</f>
        <v>Aadhya Das</v>
      </c>
      <c r="C67" s="4" t="str">
        <f aca="false">'Employee Master'!D67</f>
        <v>HR</v>
      </c>
      <c r="D67" s="6" t="n">
        <f aca="false">'Employee Master'!L67</f>
        <v>40330</v>
      </c>
      <c r="E67" s="6" t="n">
        <f aca="false">'Employee Master'!M67</f>
        <v>16130</v>
      </c>
      <c r="F67" s="6" t="n">
        <f aca="false">$N$5</f>
        <v>1600</v>
      </c>
      <c r="G67" s="6" t="n">
        <f aca="false">D67+E67+F67</f>
        <v>58060</v>
      </c>
      <c r="H67" s="6" t="n">
        <f aca="false">MIN(D67*$N$6,$N$7)</f>
        <v>1800</v>
      </c>
      <c r="I67" s="6" t="n">
        <f aca="false">$N$8</f>
        <v>200</v>
      </c>
      <c r="J67" s="6" t="n">
        <f aca="false">H67+I67</f>
        <v>2000</v>
      </c>
      <c r="K67" s="6" t="n">
        <f aca="false">G67-J67</f>
        <v>56060</v>
      </c>
    </row>
    <row r="68" customFormat="false" ht="15" hidden="false" customHeight="false" outlineLevel="0" collapsed="false">
      <c r="A68" s="4" t="str">
        <f aca="false">'Employee Master'!A68</f>
        <v>EMP1063</v>
      </c>
      <c r="B68" s="4" t="str">
        <f aca="false">CONCATENATE('Employee Master'!B68," ",'Employee Master'!C68)</f>
        <v>Sofia Williams</v>
      </c>
      <c r="C68" s="4" t="str">
        <f aca="false">'Employee Master'!D68</f>
        <v>HR</v>
      </c>
      <c r="D68" s="6" t="n">
        <f aca="false">'Employee Master'!L68</f>
        <v>17330</v>
      </c>
      <c r="E68" s="6" t="n">
        <f aca="false">'Employee Master'!M68</f>
        <v>6930</v>
      </c>
      <c r="F68" s="6" t="n">
        <f aca="false">$N$5</f>
        <v>1600</v>
      </c>
      <c r="G68" s="6" t="n">
        <f aca="false">D68+E68+F68</f>
        <v>25860</v>
      </c>
      <c r="H68" s="6" t="n">
        <f aca="false">MIN(D68*$N$6,$N$7)</f>
        <v>1800</v>
      </c>
      <c r="I68" s="6" t="n">
        <f aca="false">$N$8</f>
        <v>200</v>
      </c>
      <c r="J68" s="6" t="n">
        <f aca="false">H68+I68</f>
        <v>2000</v>
      </c>
      <c r="K68" s="6" t="n">
        <f aca="false">G68-J68</f>
        <v>23860</v>
      </c>
    </row>
    <row r="69" customFormat="false" ht="15" hidden="false" customHeight="false" outlineLevel="0" collapsed="false">
      <c r="A69" s="4" t="str">
        <f aca="false">'Employee Master'!A69</f>
        <v>EMP1064</v>
      </c>
      <c r="B69" s="4" t="str">
        <f aca="false">CONCATENATE('Employee Master'!B69," ",'Employee Master'!C69)</f>
        <v>David Smith</v>
      </c>
      <c r="C69" s="4" t="str">
        <f aca="false">'Employee Master'!D69</f>
        <v>Operations</v>
      </c>
      <c r="D69" s="6" t="n">
        <f aca="false">'Employee Master'!L69</f>
        <v>17000</v>
      </c>
      <c r="E69" s="6" t="n">
        <f aca="false">'Employee Master'!M69</f>
        <v>6800</v>
      </c>
      <c r="F69" s="6" t="n">
        <f aca="false">$N$5</f>
        <v>1600</v>
      </c>
      <c r="G69" s="6" t="n">
        <f aca="false">D69+E69+F69</f>
        <v>25400</v>
      </c>
      <c r="H69" s="6" t="n">
        <f aca="false">MIN(D69*$N$6,$N$7)</f>
        <v>1800</v>
      </c>
      <c r="I69" s="6" t="n">
        <f aca="false">$N$8</f>
        <v>200</v>
      </c>
      <c r="J69" s="6" t="n">
        <f aca="false">H69+I69</f>
        <v>2000</v>
      </c>
      <c r="K69" s="6" t="n">
        <f aca="false">G69-J69</f>
        <v>23400</v>
      </c>
    </row>
    <row r="70" customFormat="false" ht="15" hidden="false" customHeight="false" outlineLevel="0" collapsed="false">
      <c r="A70" s="4" t="str">
        <f aca="false">'Employee Master'!A70</f>
        <v>EMP1065</v>
      </c>
      <c r="B70" s="4" t="str">
        <f aca="false">CONCATENATE('Employee Master'!B70," ",'Employee Master'!C70)</f>
        <v>Daniel Wilson</v>
      </c>
      <c r="C70" s="4" t="str">
        <f aca="false">'Employee Master'!D70</f>
        <v>Finance</v>
      </c>
      <c r="D70" s="6" t="n">
        <f aca="false">'Employee Master'!L70</f>
        <v>19000</v>
      </c>
      <c r="E70" s="6" t="n">
        <f aca="false">'Employee Master'!M70</f>
        <v>7600</v>
      </c>
      <c r="F70" s="6" t="n">
        <f aca="false">$N$5</f>
        <v>1600</v>
      </c>
      <c r="G70" s="6" t="n">
        <f aca="false">D70+E70+F70</f>
        <v>28200</v>
      </c>
      <c r="H70" s="6" t="n">
        <f aca="false">MIN(D70*$N$6,$N$7)</f>
        <v>1800</v>
      </c>
      <c r="I70" s="6" t="n">
        <f aca="false">$N$8</f>
        <v>200</v>
      </c>
      <c r="J70" s="6" t="n">
        <f aca="false">H70+I70</f>
        <v>2000</v>
      </c>
      <c r="K70" s="6" t="n">
        <f aca="false">G70-J70</f>
        <v>26200</v>
      </c>
    </row>
    <row r="71" customFormat="false" ht="15" hidden="false" customHeight="false" outlineLevel="0" collapsed="false">
      <c r="A71" s="4" t="str">
        <f aca="false">'Employee Master'!A71</f>
        <v>EMP1066</v>
      </c>
      <c r="B71" s="4" t="str">
        <f aca="false">CONCATENATE('Employee Master'!B71," ",'Employee Master'!C71)</f>
        <v>Anika Williams</v>
      </c>
      <c r="C71" s="4" t="str">
        <f aca="false">'Employee Master'!D71</f>
        <v>Marketing</v>
      </c>
      <c r="D71" s="6" t="n">
        <f aca="false">'Employee Master'!L71</f>
        <v>50670</v>
      </c>
      <c r="E71" s="6" t="n">
        <f aca="false">'Employee Master'!M71</f>
        <v>20270</v>
      </c>
      <c r="F71" s="6" t="n">
        <f aca="false">$N$5</f>
        <v>1600</v>
      </c>
      <c r="G71" s="6" t="n">
        <f aca="false">D71+E71+F71</f>
        <v>72540</v>
      </c>
      <c r="H71" s="6" t="n">
        <f aca="false">MIN(D71*$N$6,$N$7)</f>
        <v>1800</v>
      </c>
      <c r="I71" s="6" t="n">
        <f aca="false">$N$8</f>
        <v>200</v>
      </c>
      <c r="J71" s="6" t="n">
        <f aca="false">H71+I71</f>
        <v>2000</v>
      </c>
      <c r="K71" s="6" t="n">
        <f aca="false">G71-J71</f>
        <v>70540</v>
      </c>
    </row>
    <row r="72" customFormat="false" ht="15" hidden="false" customHeight="false" outlineLevel="0" collapsed="false">
      <c r="A72" s="4" t="str">
        <f aca="false">'Employee Master'!A72</f>
        <v>EMP1067</v>
      </c>
      <c r="B72" s="4" t="str">
        <f aca="false">CONCATENATE('Employee Master'!B72," ",'Employee Master'!C72)</f>
        <v>Anika Das</v>
      </c>
      <c r="C72" s="4" t="str">
        <f aca="false">'Employee Master'!D72</f>
        <v>Engineering</v>
      </c>
      <c r="D72" s="6" t="n">
        <f aca="false">'Employee Master'!L72</f>
        <v>20670</v>
      </c>
      <c r="E72" s="6" t="n">
        <f aca="false">'Employee Master'!M72</f>
        <v>8270</v>
      </c>
      <c r="F72" s="6" t="n">
        <f aca="false">$N$5</f>
        <v>1600</v>
      </c>
      <c r="G72" s="6" t="n">
        <f aca="false">D72+E72+F72</f>
        <v>30540</v>
      </c>
      <c r="H72" s="6" t="n">
        <f aca="false">MIN(D72*$N$6,$N$7)</f>
        <v>1800</v>
      </c>
      <c r="I72" s="6" t="n">
        <f aca="false">$N$8</f>
        <v>200</v>
      </c>
      <c r="J72" s="6" t="n">
        <f aca="false">H72+I72</f>
        <v>2000</v>
      </c>
      <c r="K72" s="6" t="n">
        <f aca="false">G72-J72</f>
        <v>28540</v>
      </c>
    </row>
    <row r="73" customFormat="false" ht="15" hidden="false" customHeight="false" outlineLevel="0" collapsed="false">
      <c r="A73" s="4" t="str">
        <f aca="false">'Employee Master'!A73</f>
        <v>EMP1068</v>
      </c>
      <c r="B73" s="4" t="str">
        <f aca="false">CONCATENATE('Employee Master'!B73," ",'Employee Master'!C73)</f>
        <v>Lucas Patel</v>
      </c>
      <c r="C73" s="4" t="str">
        <f aca="false">'Employee Master'!D73</f>
        <v>Engineering</v>
      </c>
      <c r="D73" s="6" t="n">
        <f aca="false">'Employee Master'!L73</f>
        <v>28000</v>
      </c>
      <c r="E73" s="6" t="n">
        <f aca="false">'Employee Master'!M73</f>
        <v>11200</v>
      </c>
      <c r="F73" s="6" t="n">
        <f aca="false">$N$5</f>
        <v>1600</v>
      </c>
      <c r="G73" s="6" t="n">
        <f aca="false">D73+E73+F73</f>
        <v>40800</v>
      </c>
      <c r="H73" s="6" t="n">
        <f aca="false">MIN(D73*$N$6,$N$7)</f>
        <v>1800</v>
      </c>
      <c r="I73" s="6" t="n">
        <f aca="false">$N$8</f>
        <v>200</v>
      </c>
      <c r="J73" s="6" t="n">
        <f aca="false">H73+I73</f>
        <v>2000</v>
      </c>
      <c r="K73" s="6" t="n">
        <f aca="false">G73-J73</f>
        <v>38800</v>
      </c>
    </row>
    <row r="74" customFormat="false" ht="15" hidden="false" customHeight="false" outlineLevel="0" collapsed="false">
      <c r="A74" s="4" t="str">
        <f aca="false">'Employee Master'!A74</f>
        <v>EMP1069</v>
      </c>
      <c r="B74" s="4" t="str">
        <f aca="false">CONCATENATE('Employee Master'!B74," ",'Employee Master'!C74)</f>
        <v>Myra Iyer</v>
      </c>
      <c r="C74" s="4" t="str">
        <f aca="false">'Employee Master'!D74</f>
        <v>HR</v>
      </c>
      <c r="D74" s="6" t="n">
        <f aca="false">'Employee Master'!L74</f>
        <v>46330</v>
      </c>
      <c r="E74" s="6" t="n">
        <f aca="false">'Employee Master'!M74</f>
        <v>18530</v>
      </c>
      <c r="F74" s="6" t="n">
        <f aca="false">$N$5</f>
        <v>1600</v>
      </c>
      <c r="G74" s="6" t="n">
        <f aca="false">D74+E74+F74</f>
        <v>66460</v>
      </c>
      <c r="H74" s="6" t="n">
        <f aca="false">MIN(D74*$N$6,$N$7)</f>
        <v>1800</v>
      </c>
      <c r="I74" s="6" t="n">
        <f aca="false">$N$8</f>
        <v>200</v>
      </c>
      <c r="J74" s="6" t="n">
        <f aca="false">H74+I74</f>
        <v>2000</v>
      </c>
      <c r="K74" s="6" t="n">
        <f aca="false">G74-J74</f>
        <v>64460</v>
      </c>
    </row>
    <row r="75" customFormat="false" ht="15" hidden="false" customHeight="false" outlineLevel="0" collapsed="false">
      <c r="A75" s="4" t="str">
        <f aca="false">'Employee Master'!A75</f>
        <v>EMP1070</v>
      </c>
      <c r="B75" s="4" t="str">
        <f aca="false">CONCATENATE('Employee Master'!B75," ",'Employee Master'!C75)</f>
        <v>Ananya Anderson</v>
      </c>
      <c r="C75" s="4" t="str">
        <f aca="false">'Employee Master'!D75</f>
        <v>Finance</v>
      </c>
      <c r="D75" s="6" t="n">
        <f aca="false">'Employee Master'!L75</f>
        <v>41330</v>
      </c>
      <c r="E75" s="6" t="n">
        <f aca="false">'Employee Master'!M75</f>
        <v>16530</v>
      </c>
      <c r="F75" s="6" t="n">
        <f aca="false">$N$5</f>
        <v>1600</v>
      </c>
      <c r="G75" s="6" t="n">
        <f aca="false">D75+E75+F75</f>
        <v>59460</v>
      </c>
      <c r="H75" s="6" t="n">
        <f aca="false">MIN(D75*$N$6,$N$7)</f>
        <v>1800</v>
      </c>
      <c r="I75" s="6" t="n">
        <f aca="false">$N$8</f>
        <v>200</v>
      </c>
      <c r="J75" s="6" t="n">
        <f aca="false">H75+I75</f>
        <v>2000</v>
      </c>
      <c r="K75" s="6" t="n">
        <f aca="false">G75-J75</f>
        <v>57460</v>
      </c>
    </row>
    <row r="76" customFormat="false" ht="15" hidden="false" customHeight="false" outlineLevel="0" collapsed="false">
      <c r="A76" s="4" t="str">
        <f aca="false">'Employee Master'!A76</f>
        <v>EMP1071</v>
      </c>
      <c r="B76" s="4" t="str">
        <f aca="false">CONCATENATE('Employee Master'!B76," ",'Employee Master'!C76)</f>
        <v>Amelia Shah</v>
      </c>
      <c r="C76" s="4" t="str">
        <f aca="false">'Employee Master'!D76</f>
        <v>HR</v>
      </c>
      <c r="D76" s="6" t="n">
        <f aca="false">'Employee Master'!L76</f>
        <v>40670</v>
      </c>
      <c r="E76" s="6" t="n">
        <f aca="false">'Employee Master'!M76</f>
        <v>16270</v>
      </c>
      <c r="F76" s="6" t="n">
        <f aca="false">$N$5</f>
        <v>1600</v>
      </c>
      <c r="G76" s="6" t="n">
        <f aca="false">D76+E76+F76</f>
        <v>58540</v>
      </c>
      <c r="H76" s="6" t="n">
        <f aca="false">MIN(D76*$N$6,$N$7)</f>
        <v>1800</v>
      </c>
      <c r="I76" s="6" t="n">
        <f aca="false">$N$8</f>
        <v>200</v>
      </c>
      <c r="J76" s="6" t="n">
        <f aca="false">H76+I76</f>
        <v>2000</v>
      </c>
      <c r="K76" s="6" t="n">
        <f aca="false">G76-J76</f>
        <v>56540</v>
      </c>
    </row>
    <row r="77" customFormat="false" ht="15" hidden="false" customHeight="false" outlineLevel="0" collapsed="false">
      <c r="A77" s="4" t="str">
        <f aca="false">'Employee Master'!A77</f>
        <v>EMP1072</v>
      </c>
      <c r="B77" s="4" t="str">
        <f aca="false">CONCATENATE('Employee Master'!B77," ",'Employee Master'!C77)</f>
        <v>Yuki Anderson</v>
      </c>
      <c r="C77" s="4" t="str">
        <f aca="false">'Employee Master'!D77</f>
        <v>Engineering</v>
      </c>
      <c r="D77" s="6" t="n">
        <f aca="false">'Employee Master'!L77</f>
        <v>46330</v>
      </c>
      <c r="E77" s="6" t="n">
        <f aca="false">'Employee Master'!M77</f>
        <v>18530</v>
      </c>
      <c r="F77" s="6" t="n">
        <f aca="false">$N$5</f>
        <v>1600</v>
      </c>
      <c r="G77" s="6" t="n">
        <f aca="false">D77+E77+F77</f>
        <v>66460</v>
      </c>
      <c r="H77" s="6" t="n">
        <f aca="false">MIN(D77*$N$6,$N$7)</f>
        <v>1800</v>
      </c>
      <c r="I77" s="6" t="n">
        <f aca="false">$N$8</f>
        <v>200</v>
      </c>
      <c r="J77" s="6" t="n">
        <f aca="false">H77+I77</f>
        <v>2000</v>
      </c>
      <c r="K77" s="6" t="n">
        <f aca="false">G77-J77</f>
        <v>64460</v>
      </c>
    </row>
    <row r="78" customFormat="false" ht="15" hidden="false" customHeight="false" outlineLevel="0" collapsed="false">
      <c r="A78" s="4" t="str">
        <f aca="false">'Employee Master'!A78</f>
        <v>EMP1073</v>
      </c>
      <c r="B78" s="4" t="str">
        <f aca="false">CONCATENATE('Employee Master'!B78," ",'Employee Master'!C78)</f>
        <v>Arjun Davis</v>
      </c>
      <c r="C78" s="4" t="str">
        <f aca="false">'Employee Master'!D78</f>
        <v>Operations</v>
      </c>
      <c r="D78" s="6" t="n">
        <f aca="false">'Employee Master'!L78</f>
        <v>51670</v>
      </c>
      <c r="E78" s="6" t="n">
        <f aca="false">'Employee Master'!M78</f>
        <v>20670</v>
      </c>
      <c r="F78" s="6" t="n">
        <f aca="false">$N$5</f>
        <v>1600</v>
      </c>
      <c r="G78" s="6" t="n">
        <f aca="false">D78+E78+F78</f>
        <v>73940</v>
      </c>
      <c r="H78" s="6" t="n">
        <f aca="false">MIN(D78*$N$6,$N$7)</f>
        <v>1800</v>
      </c>
      <c r="I78" s="6" t="n">
        <f aca="false">$N$8</f>
        <v>200</v>
      </c>
      <c r="J78" s="6" t="n">
        <f aca="false">H78+I78</f>
        <v>2000</v>
      </c>
      <c r="K78" s="6" t="n">
        <f aca="false">G78-J78</f>
        <v>71940</v>
      </c>
    </row>
    <row r="79" customFormat="false" ht="15" hidden="false" customHeight="false" outlineLevel="0" collapsed="false">
      <c r="A79" s="4" t="str">
        <f aca="false">'Employee Master'!A79</f>
        <v>EMP1074</v>
      </c>
      <c r="B79" s="4" t="str">
        <f aca="false">CONCATENATE('Employee Master'!B79," ",'Employee Master'!C79)</f>
        <v>Michael Patel</v>
      </c>
      <c r="C79" s="4" t="str">
        <f aca="false">'Employee Master'!D79</f>
        <v>HR</v>
      </c>
      <c r="D79" s="6" t="n">
        <f aca="false">'Employee Master'!L79</f>
        <v>38000</v>
      </c>
      <c r="E79" s="6" t="n">
        <f aca="false">'Employee Master'!M79</f>
        <v>15200</v>
      </c>
      <c r="F79" s="6" t="n">
        <f aca="false">$N$5</f>
        <v>1600</v>
      </c>
      <c r="G79" s="6" t="n">
        <f aca="false">D79+E79+F79</f>
        <v>54800</v>
      </c>
      <c r="H79" s="6" t="n">
        <f aca="false">MIN(D79*$N$6,$N$7)</f>
        <v>1800</v>
      </c>
      <c r="I79" s="6" t="n">
        <f aca="false">$N$8</f>
        <v>200</v>
      </c>
      <c r="J79" s="6" t="n">
        <f aca="false">H79+I79</f>
        <v>2000</v>
      </c>
      <c r="K79" s="6" t="n">
        <f aca="false">G79-J79</f>
        <v>52800</v>
      </c>
    </row>
    <row r="80" customFormat="false" ht="15" hidden="false" customHeight="false" outlineLevel="0" collapsed="false">
      <c r="A80" s="4" t="str">
        <f aca="false">'Employee Master'!A80</f>
        <v>EMP1075</v>
      </c>
      <c r="B80" s="4" t="str">
        <f aca="false">CONCATENATE('Employee Master'!B80," ",'Employee Master'!C80)</f>
        <v>Abigail Chatterjee</v>
      </c>
      <c r="C80" s="4" t="str">
        <f aca="false">'Employee Master'!D80</f>
        <v>Finance</v>
      </c>
      <c r="D80" s="6" t="n">
        <f aca="false">'Employee Master'!L80</f>
        <v>42330</v>
      </c>
      <c r="E80" s="6" t="n">
        <f aca="false">'Employee Master'!M80</f>
        <v>16930</v>
      </c>
      <c r="F80" s="6" t="n">
        <f aca="false">$N$5</f>
        <v>1600</v>
      </c>
      <c r="G80" s="6" t="n">
        <f aca="false">D80+E80+F80</f>
        <v>60860</v>
      </c>
      <c r="H80" s="6" t="n">
        <f aca="false">MIN(D80*$N$6,$N$7)</f>
        <v>1800</v>
      </c>
      <c r="I80" s="6" t="n">
        <f aca="false">$N$8</f>
        <v>200</v>
      </c>
      <c r="J80" s="6" t="n">
        <f aca="false">H80+I80</f>
        <v>2000</v>
      </c>
      <c r="K80" s="6" t="n">
        <f aca="false">G80-J80</f>
        <v>58860</v>
      </c>
    </row>
    <row r="81" customFormat="false" ht="15" hidden="false" customHeight="false" outlineLevel="0" collapsed="false">
      <c r="A81" s="4" t="str">
        <f aca="false">'Employee Master'!A81</f>
        <v>EMP1076</v>
      </c>
      <c r="B81" s="4" t="str">
        <f aca="false">CONCATENATE('Employee Master'!B81," ",'Employee Master'!C81)</f>
        <v>Myra Das</v>
      </c>
      <c r="C81" s="4" t="str">
        <f aca="false">'Employee Master'!D81</f>
        <v>Engineering</v>
      </c>
      <c r="D81" s="6" t="n">
        <f aca="false">'Employee Master'!L81</f>
        <v>47330</v>
      </c>
      <c r="E81" s="6" t="n">
        <f aca="false">'Employee Master'!M81</f>
        <v>18930</v>
      </c>
      <c r="F81" s="6" t="n">
        <f aca="false">$N$5</f>
        <v>1600</v>
      </c>
      <c r="G81" s="6" t="n">
        <f aca="false">D81+E81+F81</f>
        <v>67860</v>
      </c>
      <c r="H81" s="6" t="n">
        <f aca="false">MIN(D81*$N$6,$N$7)</f>
        <v>1800</v>
      </c>
      <c r="I81" s="6" t="n">
        <f aca="false">$N$8</f>
        <v>200</v>
      </c>
      <c r="J81" s="6" t="n">
        <f aca="false">H81+I81</f>
        <v>2000</v>
      </c>
      <c r="K81" s="6" t="n">
        <f aca="false">G81-J81</f>
        <v>65860</v>
      </c>
    </row>
    <row r="82" customFormat="false" ht="15" hidden="false" customHeight="false" outlineLevel="0" collapsed="false">
      <c r="A82" s="4" t="str">
        <f aca="false">'Employee Master'!A82</f>
        <v>EMP1077</v>
      </c>
      <c r="B82" s="4" t="str">
        <f aca="false">CONCATENATE('Employee Master'!B82," ",'Employee Master'!C82)</f>
        <v>John Sharma</v>
      </c>
      <c r="C82" s="4" t="str">
        <f aca="false">'Employee Master'!D82</f>
        <v>HR</v>
      </c>
      <c r="D82" s="6" t="n">
        <f aca="false">'Employee Master'!L82</f>
        <v>37000</v>
      </c>
      <c r="E82" s="6" t="n">
        <f aca="false">'Employee Master'!M82</f>
        <v>14800</v>
      </c>
      <c r="F82" s="6" t="n">
        <f aca="false">$N$5</f>
        <v>1600</v>
      </c>
      <c r="G82" s="6" t="n">
        <f aca="false">D82+E82+F82</f>
        <v>53400</v>
      </c>
      <c r="H82" s="6" t="n">
        <f aca="false">MIN(D82*$N$6,$N$7)</f>
        <v>1800</v>
      </c>
      <c r="I82" s="6" t="n">
        <f aca="false">$N$8</f>
        <v>200</v>
      </c>
      <c r="J82" s="6" t="n">
        <f aca="false">H82+I82</f>
        <v>2000</v>
      </c>
      <c r="K82" s="6" t="n">
        <f aca="false">G82-J82</f>
        <v>51400</v>
      </c>
    </row>
    <row r="83" customFormat="false" ht="15" hidden="false" customHeight="false" outlineLevel="0" collapsed="false">
      <c r="A83" s="4" t="str">
        <f aca="false">'Employee Master'!A83</f>
        <v>EMP1078</v>
      </c>
      <c r="B83" s="4" t="str">
        <f aca="false">CONCATENATE('Employee Master'!B83," ",'Employee Master'!C83)</f>
        <v>John Kapoor</v>
      </c>
      <c r="C83" s="4" t="str">
        <f aca="false">'Employee Master'!D83</f>
        <v>Finance</v>
      </c>
      <c r="D83" s="6" t="n">
        <f aca="false">'Employee Master'!L83</f>
        <v>49670</v>
      </c>
      <c r="E83" s="6" t="n">
        <f aca="false">'Employee Master'!M83</f>
        <v>19870</v>
      </c>
      <c r="F83" s="6" t="n">
        <f aca="false">$N$5</f>
        <v>1600</v>
      </c>
      <c r="G83" s="6" t="n">
        <f aca="false">D83+E83+F83</f>
        <v>71140</v>
      </c>
      <c r="H83" s="6" t="n">
        <f aca="false">MIN(D83*$N$6,$N$7)</f>
        <v>1800</v>
      </c>
      <c r="I83" s="6" t="n">
        <f aca="false">$N$8</f>
        <v>200</v>
      </c>
      <c r="J83" s="6" t="n">
        <f aca="false">H83+I83</f>
        <v>2000</v>
      </c>
      <c r="K83" s="6" t="n">
        <f aca="false">G83-J83</f>
        <v>69140</v>
      </c>
    </row>
    <row r="84" customFormat="false" ht="15" hidden="false" customHeight="false" outlineLevel="0" collapsed="false">
      <c r="A84" s="4" t="str">
        <f aca="false">'Employee Master'!A84</f>
        <v>EMP1079</v>
      </c>
      <c r="B84" s="4" t="str">
        <f aca="false">CONCATENATE('Employee Master'!B84," ",'Employee Master'!C84)</f>
        <v>Olivia Garcia</v>
      </c>
      <c r="C84" s="4" t="str">
        <f aca="false">'Employee Master'!D84</f>
        <v>Sales</v>
      </c>
      <c r="D84" s="6" t="n">
        <f aca="false">'Employee Master'!L84</f>
        <v>40000</v>
      </c>
      <c r="E84" s="6" t="n">
        <f aca="false">'Employee Master'!M84</f>
        <v>16000</v>
      </c>
      <c r="F84" s="6" t="n">
        <f aca="false">$N$5</f>
        <v>1600</v>
      </c>
      <c r="G84" s="6" t="n">
        <f aca="false">D84+E84+F84</f>
        <v>57600</v>
      </c>
      <c r="H84" s="6" t="n">
        <f aca="false">MIN(D84*$N$6,$N$7)</f>
        <v>1800</v>
      </c>
      <c r="I84" s="6" t="n">
        <f aca="false">$N$8</f>
        <v>200</v>
      </c>
      <c r="J84" s="6" t="n">
        <f aca="false">H84+I84</f>
        <v>2000</v>
      </c>
      <c r="K84" s="6" t="n">
        <f aca="false">G84-J84</f>
        <v>55600</v>
      </c>
    </row>
    <row r="85" customFormat="false" ht="15" hidden="false" customHeight="false" outlineLevel="0" collapsed="false">
      <c r="A85" s="4" t="str">
        <f aca="false">'Employee Master'!A85</f>
        <v>EMP1080</v>
      </c>
      <c r="B85" s="4" t="str">
        <f aca="false">CONCATENATE('Employee Master'!B85," ",'Employee Master'!C85)</f>
        <v>Kiara Williams</v>
      </c>
      <c r="C85" s="4" t="str">
        <f aca="false">'Employee Master'!D85</f>
        <v>Operations</v>
      </c>
      <c r="D85" s="6" t="n">
        <f aca="false">'Employee Master'!L85</f>
        <v>44330</v>
      </c>
      <c r="E85" s="6" t="n">
        <f aca="false">'Employee Master'!M85</f>
        <v>17730</v>
      </c>
      <c r="F85" s="6" t="n">
        <f aca="false">$N$5</f>
        <v>1600</v>
      </c>
      <c r="G85" s="6" t="n">
        <f aca="false">D85+E85+F85</f>
        <v>63660</v>
      </c>
      <c r="H85" s="6" t="n">
        <f aca="false">MIN(D85*$N$6,$N$7)</f>
        <v>1800</v>
      </c>
      <c r="I85" s="6" t="n">
        <f aca="false">$N$8</f>
        <v>200</v>
      </c>
      <c r="J85" s="6" t="n">
        <f aca="false">H85+I85</f>
        <v>2000</v>
      </c>
      <c r="K85" s="6" t="n">
        <f aca="false">G85-J85</f>
        <v>61660</v>
      </c>
    </row>
    <row r="86" customFormat="false" ht="15" hidden="false" customHeight="false" outlineLevel="0" collapsed="false">
      <c r="A86" s="4" t="str">
        <f aca="false">'Employee Master'!A86</f>
        <v>EMP1081</v>
      </c>
      <c r="B86" s="4" t="str">
        <f aca="false">CONCATENATE('Employee Master'!B86," ",'Employee Master'!C86)</f>
        <v>Andrew Malhotra</v>
      </c>
      <c r="C86" s="4" t="str">
        <f aca="false">'Employee Master'!D86</f>
        <v>Finance</v>
      </c>
      <c r="D86" s="6" t="n">
        <f aca="false">'Employee Master'!L86</f>
        <v>34670</v>
      </c>
      <c r="E86" s="6" t="n">
        <f aca="false">'Employee Master'!M86</f>
        <v>13870</v>
      </c>
      <c r="F86" s="6" t="n">
        <f aca="false">$N$5</f>
        <v>1600</v>
      </c>
      <c r="G86" s="6" t="n">
        <f aca="false">D86+E86+F86</f>
        <v>50140</v>
      </c>
      <c r="H86" s="6" t="n">
        <f aca="false">MIN(D86*$N$6,$N$7)</f>
        <v>1800</v>
      </c>
      <c r="I86" s="6" t="n">
        <f aca="false">$N$8</f>
        <v>200</v>
      </c>
      <c r="J86" s="6" t="n">
        <f aca="false">H86+I86</f>
        <v>2000</v>
      </c>
      <c r="K86" s="6" t="n">
        <f aca="false">G86-J86</f>
        <v>48140</v>
      </c>
    </row>
    <row r="87" customFormat="false" ht="15" hidden="false" customHeight="false" outlineLevel="0" collapsed="false">
      <c r="A87" s="4" t="str">
        <f aca="false">'Employee Master'!A87</f>
        <v>EMP1082</v>
      </c>
      <c r="B87" s="4" t="str">
        <f aca="false">CONCATENATE('Employee Master'!B87," ",'Employee Master'!C87)</f>
        <v>Krishna Malhotra</v>
      </c>
      <c r="C87" s="4" t="str">
        <f aca="false">'Employee Master'!D87</f>
        <v>Sales</v>
      </c>
      <c r="D87" s="6" t="n">
        <f aca="false">'Employee Master'!L87</f>
        <v>56000</v>
      </c>
      <c r="E87" s="6" t="n">
        <f aca="false">'Employee Master'!M87</f>
        <v>22400</v>
      </c>
      <c r="F87" s="6" t="n">
        <f aca="false">$N$5</f>
        <v>1600</v>
      </c>
      <c r="G87" s="6" t="n">
        <f aca="false">D87+E87+F87</f>
        <v>80000</v>
      </c>
      <c r="H87" s="6" t="n">
        <f aca="false">MIN(D87*$N$6,$N$7)</f>
        <v>1800</v>
      </c>
      <c r="I87" s="6" t="n">
        <f aca="false">$N$8</f>
        <v>200</v>
      </c>
      <c r="J87" s="6" t="n">
        <f aca="false">H87+I87</f>
        <v>2000</v>
      </c>
      <c r="K87" s="6" t="n">
        <f aca="false">G87-J87</f>
        <v>78000</v>
      </c>
    </row>
    <row r="88" customFormat="false" ht="15" hidden="false" customHeight="false" outlineLevel="0" collapsed="false">
      <c r="A88" s="4" t="str">
        <f aca="false">'Employee Master'!A88</f>
        <v>EMP1083</v>
      </c>
      <c r="B88" s="4" t="str">
        <f aca="false">CONCATENATE('Employee Master'!B88," ",'Employee Master'!C88)</f>
        <v>Navya Malhotra</v>
      </c>
      <c r="C88" s="4" t="str">
        <f aca="false">'Employee Master'!D88</f>
        <v>Finance</v>
      </c>
      <c r="D88" s="6" t="n">
        <f aca="false">'Employee Master'!L88</f>
        <v>30000</v>
      </c>
      <c r="E88" s="6" t="n">
        <f aca="false">'Employee Master'!M88</f>
        <v>12000</v>
      </c>
      <c r="F88" s="6" t="n">
        <f aca="false">$N$5</f>
        <v>1600</v>
      </c>
      <c r="G88" s="6" t="n">
        <f aca="false">D88+E88+F88</f>
        <v>43600</v>
      </c>
      <c r="H88" s="6" t="n">
        <f aca="false">MIN(D88*$N$6,$N$7)</f>
        <v>1800</v>
      </c>
      <c r="I88" s="6" t="n">
        <f aca="false">$N$8</f>
        <v>200</v>
      </c>
      <c r="J88" s="6" t="n">
        <f aca="false">H88+I88</f>
        <v>2000</v>
      </c>
      <c r="K88" s="6" t="n">
        <f aca="false">G88-J88</f>
        <v>41600</v>
      </c>
    </row>
    <row r="89" customFormat="false" ht="15" hidden="false" customHeight="false" outlineLevel="0" collapsed="false">
      <c r="A89" s="4" t="str">
        <f aca="false">'Employee Master'!A89</f>
        <v>EMP1084</v>
      </c>
      <c r="B89" s="4" t="str">
        <f aca="false">CONCATENATE('Employee Master'!B89," ",'Employee Master'!C89)</f>
        <v>Isha Sharma</v>
      </c>
      <c r="C89" s="4" t="str">
        <f aca="false">'Employee Master'!D89</f>
        <v>Operations</v>
      </c>
      <c r="D89" s="6" t="n">
        <f aca="false">'Employee Master'!L89</f>
        <v>39670</v>
      </c>
      <c r="E89" s="6" t="n">
        <f aca="false">'Employee Master'!M89</f>
        <v>15870</v>
      </c>
      <c r="F89" s="6" t="n">
        <f aca="false">$N$5</f>
        <v>1600</v>
      </c>
      <c r="G89" s="6" t="n">
        <f aca="false">D89+E89+F89</f>
        <v>57140</v>
      </c>
      <c r="H89" s="6" t="n">
        <f aca="false">MIN(D89*$N$6,$N$7)</f>
        <v>1800</v>
      </c>
      <c r="I89" s="6" t="n">
        <f aca="false">$N$8</f>
        <v>200</v>
      </c>
      <c r="J89" s="6" t="n">
        <f aca="false">H89+I89</f>
        <v>2000</v>
      </c>
      <c r="K89" s="6" t="n">
        <f aca="false">G89-J89</f>
        <v>55140</v>
      </c>
    </row>
    <row r="90" customFormat="false" ht="15" hidden="false" customHeight="false" outlineLevel="0" collapsed="false">
      <c r="A90" s="4" t="str">
        <f aca="false">'Employee Master'!A90</f>
        <v>EMP1085</v>
      </c>
      <c r="B90" s="4" t="str">
        <f aca="false">CONCATENATE('Employee Master'!B90," ",'Employee Master'!C90)</f>
        <v>Chen Iyer</v>
      </c>
      <c r="C90" s="4" t="str">
        <f aca="false">'Employee Master'!D90</f>
        <v>Operations</v>
      </c>
      <c r="D90" s="6" t="n">
        <f aca="false">'Employee Master'!L90</f>
        <v>55670</v>
      </c>
      <c r="E90" s="6" t="n">
        <f aca="false">'Employee Master'!M90</f>
        <v>22270</v>
      </c>
      <c r="F90" s="6" t="n">
        <f aca="false">$N$5</f>
        <v>1600</v>
      </c>
      <c r="G90" s="6" t="n">
        <f aca="false">D90+E90+F90</f>
        <v>79540</v>
      </c>
      <c r="H90" s="6" t="n">
        <f aca="false">MIN(D90*$N$6,$N$7)</f>
        <v>1800</v>
      </c>
      <c r="I90" s="6" t="n">
        <f aca="false">$N$8</f>
        <v>200</v>
      </c>
      <c r="J90" s="6" t="n">
        <f aca="false">H90+I90</f>
        <v>2000</v>
      </c>
      <c r="K90" s="6" t="n">
        <f aca="false">G90-J90</f>
        <v>77540</v>
      </c>
    </row>
    <row r="91" customFormat="false" ht="15" hidden="false" customHeight="false" outlineLevel="0" collapsed="false">
      <c r="A91" s="4" t="str">
        <f aca="false">'Employee Master'!A91</f>
        <v>EMP1086</v>
      </c>
      <c r="B91" s="4" t="str">
        <f aca="false">CONCATENATE('Employee Master'!B91," ",'Employee Master'!C91)</f>
        <v>Joseph Smith</v>
      </c>
      <c r="C91" s="4" t="str">
        <f aca="false">'Employee Master'!D91</f>
        <v>Sales</v>
      </c>
      <c r="D91" s="6" t="n">
        <f aca="false">'Employee Master'!L91</f>
        <v>56670</v>
      </c>
      <c r="E91" s="6" t="n">
        <f aca="false">'Employee Master'!M91</f>
        <v>22670</v>
      </c>
      <c r="F91" s="6" t="n">
        <f aca="false">$N$5</f>
        <v>1600</v>
      </c>
      <c r="G91" s="6" t="n">
        <f aca="false">D91+E91+F91</f>
        <v>80940</v>
      </c>
      <c r="H91" s="6" t="n">
        <f aca="false">MIN(D91*$N$6,$N$7)</f>
        <v>1800</v>
      </c>
      <c r="I91" s="6" t="n">
        <f aca="false">$N$8</f>
        <v>200</v>
      </c>
      <c r="J91" s="6" t="n">
        <f aca="false">H91+I91</f>
        <v>2000</v>
      </c>
      <c r="K91" s="6" t="n">
        <f aca="false">G91-J91</f>
        <v>78940</v>
      </c>
    </row>
    <row r="92" customFormat="false" ht="15" hidden="false" customHeight="false" outlineLevel="0" collapsed="false">
      <c r="A92" s="4" t="str">
        <f aca="false">'Employee Master'!A92</f>
        <v>EMP1087</v>
      </c>
      <c r="B92" s="4" t="str">
        <f aca="false">CONCATENATE('Employee Master'!B92," ",'Employee Master'!C92)</f>
        <v>Arjun Wilson</v>
      </c>
      <c r="C92" s="4" t="str">
        <f aca="false">'Employee Master'!D92</f>
        <v>Operations</v>
      </c>
      <c r="D92" s="6" t="n">
        <f aca="false">'Employee Master'!L92</f>
        <v>22000</v>
      </c>
      <c r="E92" s="6" t="n">
        <f aca="false">'Employee Master'!M92</f>
        <v>8800</v>
      </c>
      <c r="F92" s="6" t="n">
        <f aca="false">$N$5</f>
        <v>1600</v>
      </c>
      <c r="G92" s="6" t="n">
        <f aca="false">D92+E92+F92</f>
        <v>32400</v>
      </c>
      <c r="H92" s="6" t="n">
        <f aca="false">MIN(D92*$N$6,$N$7)</f>
        <v>1800</v>
      </c>
      <c r="I92" s="6" t="n">
        <f aca="false">$N$8</f>
        <v>200</v>
      </c>
      <c r="J92" s="6" t="n">
        <f aca="false">H92+I92</f>
        <v>2000</v>
      </c>
      <c r="K92" s="6" t="n">
        <f aca="false">G92-J92</f>
        <v>30400</v>
      </c>
    </row>
    <row r="93" customFormat="false" ht="15" hidden="false" customHeight="false" outlineLevel="0" collapsed="false">
      <c r="A93" s="4" t="str">
        <f aca="false">'Employee Master'!A93</f>
        <v>EMP1088</v>
      </c>
      <c r="B93" s="4" t="str">
        <f aca="false">CONCATENATE('Employee Master'!B93," ",'Employee Master'!C93)</f>
        <v>Myra Reddy</v>
      </c>
      <c r="C93" s="4" t="str">
        <f aca="false">'Employee Master'!D93</f>
        <v>Finance</v>
      </c>
      <c r="D93" s="6" t="n">
        <f aca="false">'Employee Master'!L93</f>
        <v>51330</v>
      </c>
      <c r="E93" s="6" t="n">
        <f aca="false">'Employee Master'!M93</f>
        <v>20530</v>
      </c>
      <c r="F93" s="6" t="n">
        <f aca="false">$N$5</f>
        <v>1600</v>
      </c>
      <c r="G93" s="6" t="n">
        <f aca="false">D93+E93+F93</f>
        <v>73460</v>
      </c>
      <c r="H93" s="6" t="n">
        <f aca="false">MIN(D93*$N$6,$N$7)</f>
        <v>1800</v>
      </c>
      <c r="I93" s="6" t="n">
        <f aca="false">$N$8</f>
        <v>200</v>
      </c>
      <c r="J93" s="6" t="n">
        <f aca="false">H93+I93</f>
        <v>2000</v>
      </c>
      <c r="K93" s="6" t="n">
        <f aca="false">G93-J93</f>
        <v>71460</v>
      </c>
    </row>
    <row r="94" customFormat="false" ht="15" hidden="false" customHeight="false" outlineLevel="0" collapsed="false">
      <c r="A94" s="4" t="str">
        <f aca="false">'Employee Master'!A94</f>
        <v>EMP1089</v>
      </c>
      <c r="B94" s="4" t="str">
        <f aca="false">CONCATENATE('Employee Master'!B94," ",'Employee Master'!C94)</f>
        <v>Isha Wilson</v>
      </c>
      <c r="C94" s="4" t="str">
        <f aca="false">'Employee Master'!D94</f>
        <v>Finance</v>
      </c>
      <c r="D94" s="6" t="n">
        <f aca="false">'Employee Master'!L94</f>
        <v>21670</v>
      </c>
      <c r="E94" s="6" t="n">
        <f aca="false">'Employee Master'!M94</f>
        <v>8670</v>
      </c>
      <c r="F94" s="6" t="n">
        <f aca="false">$N$5</f>
        <v>1600</v>
      </c>
      <c r="G94" s="6" t="n">
        <f aca="false">D94+E94+F94</f>
        <v>31940</v>
      </c>
      <c r="H94" s="6" t="n">
        <f aca="false">MIN(D94*$N$6,$N$7)</f>
        <v>1800</v>
      </c>
      <c r="I94" s="6" t="n">
        <f aca="false">$N$8</f>
        <v>200</v>
      </c>
      <c r="J94" s="6" t="n">
        <f aca="false">H94+I94</f>
        <v>2000</v>
      </c>
      <c r="K94" s="6" t="n">
        <f aca="false">G94-J94</f>
        <v>29940</v>
      </c>
    </row>
    <row r="95" customFormat="false" ht="15" hidden="false" customHeight="false" outlineLevel="0" collapsed="false">
      <c r="A95" s="4" t="str">
        <f aca="false">'Employee Master'!A95</f>
        <v>EMP1090</v>
      </c>
      <c r="B95" s="4" t="str">
        <f aca="false">CONCATENATE('Employee Master'!B95," ",'Employee Master'!C95)</f>
        <v>Ananya Mehta</v>
      </c>
      <c r="C95" s="4" t="str">
        <f aca="false">'Employee Master'!D95</f>
        <v>Sales</v>
      </c>
      <c r="D95" s="6" t="n">
        <f aca="false">'Employee Master'!L95</f>
        <v>55000</v>
      </c>
      <c r="E95" s="6" t="n">
        <f aca="false">'Employee Master'!M95</f>
        <v>22000</v>
      </c>
      <c r="F95" s="6" t="n">
        <f aca="false">$N$5</f>
        <v>1600</v>
      </c>
      <c r="G95" s="6" t="n">
        <f aca="false">D95+E95+F95</f>
        <v>78600</v>
      </c>
      <c r="H95" s="6" t="n">
        <f aca="false">MIN(D95*$N$6,$N$7)</f>
        <v>1800</v>
      </c>
      <c r="I95" s="6" t="n">
        <f aca="false">$N$8</f>
        <v>200</v>
      </c>
      <c r="J95" s="6" t="n">
        <f aca="false">H95+I95</f>
        <v>2000</v>
      </c>
      <c r="K95" s="6" t="n">
        <f aca="false">G95-J95</f>
        <v>76600</v>
      </c>
    </row>
    <row r="96" customFormat="false" ht="15" hidden="false" customHeight="false" outlineLevel="0" collapsed="false">
      <c r="A96" s="4" t="str">
        <f aca="false">'Employee Master'!A96</f>
        <v>EMP1091</v>
      </c>
      <c r="B96" s="4" t="str">
        <f aca="false">CONCATENATE('Employee Master'!B96," ",'Employee Master'!C96)</f>
        <v>Riya Verma</v>
      </c>
      <c r="C96" s="4" t="str">
        <f aca="false">'Employee Master'!D96</f>
        <v>Sales</v>
      </c>
      <c r="D96" s="6" t="n">
        <f aca="false">'Employee Master'!L96</f>
        <v>31670</v>
      </c>
      <c r="E96" s="6" t="n">
        <f aca="false">'Employee Master'!M96</f>
        <v>12670</v>
      </c>
      <c r="F96" s="6" t="n">
        <f aca="false">$N$5</f>
        <v>1600</v>
      </c>
      <c r="G96" s="6" t="n">
        <f aca="false">D96+E96+F96</f>
        <v>45940</v>
      </c>
      <c r="H96" s="6" t="n">
        <f aca="false">MIN(D96*$N$6,$N$7)</f>
        <v>1800</v>
      </c>
      <c r="I96" s="6" t="n">
        <f aca="false">$N$8</f>
        <v>200</v>
      </c>
      <c r="J96" s="6" t="n">
        <f aca="false">H96+I96</f>
        <v>2000</v>
      </c>
      <c r="K96" s="6" t="n">
        <f aca="false">G96-J96</f>
        <v>43940</v>
      </c>
    </row>
    <row r="97" customFormat="false" ht="15" hidden="false" customHeight="false" outlineLevel="0" collapsed="false">
      <c r="A97" s="4" t="str">
        <f aca="false">'Employee Master'!A97</f>
        <v>EMP1092</v>
      </c>
      <c r="B97" s="4" t="str">
        <f aca="false">CONCATENATE('Employee Master'!B97," ",'Employee Master'!C97)</f>
        <v>Andrew Reddy</v>
      </c>
      <c r="C97" s="4" t="str">
        <f aca="false">'Employee Master'!D97</f>
        <v>Finance</v>
      </c>
      <c r="D97" s="6" t="n">
        <f aca="false">'Employee Master'!L97</f>
        <v>20000</v>
      </c>
      <c r="E97" s="6" t="n">
        <f aca="false">'Employee Master'!M97</f>
        <v>8000</v>
      </c>
      <c r="F97" s="6" t="n">
        <f aca="false">$N$5</f>
        <v>1600</v>
      </c>
      <c r="G97" s="6" t="n">
        <f aca="false">D97+E97+F97</f>
        <v>29600</v>
      </c>
      <c r="H97" s="6" t="n">
        <f aca="false">MIN(D97*$N$6,$N$7)</f>
        <v>1800</v>
      </c>
      <c r="I97" s="6" t="n">
        <f aca="false">$N$8</f>
        <v>200</v>
      </c>
      <c r="J97" s="6" t="n">
        <f aca="false">H97+I97</f>
        <v>2000</v>
      </c>
      <c r="K97" s="6" t="n">
        <f aca="false">G97-J97</f>
        <v>27600</v>
      </c>
    </row>
    <row r="98" customFormat="false" ht="15" hidden="false" customHeight="false" outlineLevel="0" collapsed="false">
      <c r="A98" s="4" t="str">
        <f aca="false">'Employee Master'!A98</f>
        <v>EMP1093</v>
      </c>
      <c r="B98" s="4" t="str">
        <f aca="false">CONCATENATE('Employee Master'!B98," ",'Employee Master'!C98)</f>
        <v>Ananya Chatterjee</v>
      </c>
      <c r="C98" s="4" t="str">
        <f aca="false">'Employee Master'!D98</f>
        <v>Marketing</v>
      </c>
      <c r="D98" s="6" t="n">
        <f aca="false">'Employee Master'!L98</f>
        <v>49330</v>
      </c>
      <c r="E98" s="6" t="n">
        <f aca="false">'Employee Master'!M98</f>
        <v>19730</v>
      </c>
      <c r="F98" s="6" t="n">
        <f aca="false">$N$5</f>
        <v>1600</v>
      </c>
      <c r="G98" s="6" t="n">
        <f aca="false">D98+E98+F98</f>
        <v>70660</v>
      </c>
      <c r="H98" s="6" t="n">
        <f aca="false">MIN(D98*$N$6,$N$7)</f>
        <v>1800</v>
      </c>
      <c r="I98" s="6" t="n">
        <f aca="false">$N$8</f>
        <v>200</v>
      </c>
      <c r="J98" s="6" t="n">
        <f aca="false">H98+I98</f>
        <v>2000</v>
      </c>
      <c r="K98" s="6" t="n">
        <f aca="false">G98-J98</f>
        <v>68660</v>
      </c>
    </row>
    <row r="99" customFormat="false" ht="15" hidden="false" customHeight="false" outlineLevel="0" collapsed="false">
      <c r="A99" s="4" t="str">
        <f aca="false">'Employee Master'!A99</f>
        <v>EMP1094</v>
      </c>
      <c r="B99" s="4" t="str">
        <f aca="false">CONCATENATE('Employee Master'!B99," ",'Employee Master'!C99)</f>
        <v>Navya Davis</v>
      </c>
      <c r="C99" s="4" t="str">
        <f aca="false">'Employee Master'!D99</f>
        <v>Finance</v>
      </c>
      <c r="D99" s="6" t="n">
        <f aca="false">'Employee Master'!L99</f>
        <v>42330</v>
      </c>
      <c r="E99" s="6" t="n">
        <f aca="false">'Employee Master'!M99</f>
        <v>16930</v>
      </c>
      <c r="F99" s="6" t="n">
        <f aca="false">$N$5</f>
        <v>1600</v>
      </c>
      <c r="G99" s="6" t="n">
        <f aca="false">D99+E99+F99</f>
        <v>60860</v>
      </c>
      <c r="H99" s="6" t="n">
        <f aca="false">MIN(D99*$N$6,$N$7)</f>
        <v>1800</v>
      </c>
      <c r="I99" s="6" t="n">
        <f aca="false">$N$8</f>
        <v>200</v>
      </c>
      <c r="J99" s="6" t="n">
        <f aca="false">H99+I99</f>
        <v>2000</v>
      </c>
      <c r="K99" s="6" t="n">
        <f aca="false">G99-J99</f>
        <v>58860</v>
      </c>
    </row>
    <row r="100" customFormat="false" ht="15" hidden="false" customHeight="false" outlineLevel="0" collapsed="false">
      <c r="A100" s="4" t="str">
        <f aca="false">'Employee Master'!A100</f>
        <v>EMP1095</v>
      </c>
      <c r="B100" s="4" t="str">
        <f aca="false">CONCATENATE('Employee Master'!B100," ",'Employee Master'!C100)</f>
        <v>Evelyn Kapoor</v>
      </c>
      <c r="C100" s="4" t="str">
        <f aca="false">'Employee Master'!D100</f>
        <v>Engineering</v>
      </c>
      <c r="D100" s="6" t="n">
        <f aca="false">'Employee Master'!L100</f>
        <v>18330</v>
      </c>
      <c r="E100" s="6" t="n">
        <f aca="false">'Employee Master'!M100</f>
        <v>7330</v>
      </c>
      <c r="F100" s="6" t="n">
        <f aca="false">$N$5</f>
        <v>1600</v>
      </c>
      <c r="G100" s="6" t="n">
        <f aca="false">D100+E100+F100</f>
        <v>27260</v>
      </c>
      <c r="H100" s="6" t="n">
        <f aca="false">MIN(D100*$N$6,$N$7)</f>
        <v>1800</v>
      </c>
      <c r="I100" s="6" t="n">
        <f aca="false">$N$8</f>
        <v>200</v>
      </c>
      <c r="J100" s="6" t="n">
        <f aca="false">H100+I100</f>
        <v>2000</v>
      </c>
      <c r="K100" s="6" t="n">
        <f aca="false">G100-J100</f>
        <v>25260</v>
      </c>
    </row>
    <row r="101" customFormat="false" ht="15" hidden="false" customHeight="false" outlineLevel="0" collapsed="false">
      <c r="A101" s="4" t="str">
        <f aca="false">'Employee Master'!A101</f>
        <v>EMP1096</v>
      </c>
      <c r="B101" s="4" t="str">
        <f aca="false">CONCATENATE('Employee Master'!B101," ",'Employee Master'!C101)</f>
        <v>Sofia Bose</v>
      </c>
      <c r="C101" s="4" t="str">
        <f aca="false">'Employee Master'!D101</f>
        <v>Sales</v>
      </c>
      <c r="D101" s="6" t="n">
        <f aca="false">'Employee Master'!L101</f>
        <v>56670</v>
      </c>
      <c r="E101" s="6" t="n">
        <f aca="false">'Employee Master'!M101</f>
        <v>22670</v>
      </c>
      <c r="F101" s="6" t="n">
        <f aca="false">$N$5</f>
        <v>1600</v>
      </c>
      <c r="G101" s="6" t="n">
        <f aca="false">D101+E101+F101</f>
        <v>80940</v>
      </c>
      <c r="H101" s="6" t="n">
        <f aca="false">MIN(D101*$N$6,$N$7)</f>
        <v>1800</v>
      </c>
      <c r="I101" s="6" t="n">
        <f aca="false">$N$8</f>
        <v>200</v>
      </c>
      <c r="J101" s="6" t="n">
        <f aca="false">H101+I101</f>
        <v>2000</v>
      </c>
      <c r="K101" s="6" t="n">
        <f aca="false">G101-J101</f>
        <v>78940</v>
      </c>
    </row>
    <row r="102" customFormat="false" ht="15" hidden="false" customHeight="false" outlineLevel="0" collapsed="false">
      <c r="A102" s="4" t="str">
        <f aca="false">'Employee Master'!A102</f>
        <v>EMP1097</v>
      </c>
      <c r="B102" s="4" t="str">
        <f aca="false">CONCATENATE('Employee Master'!B102," ",'Employee Master'!C102)</f>
        <v>Sai Miller</v>
      </c>
      <c r="C102" s="4" t="str">
        <f aca="false">'Employee Master'!D102</f>
        <v>Marketing</v>
      </c>
      <c r="D102" s="6" t="n">
        <f aca="false">'Employee Master'!L102</f>
        <v>28670</v>
      </c>
      <c r="E102" s="6" t="n">
        <f aca="false">'Employee Master'!M102</f>
        <v>11470</v>
      </c>
      <c r="F102" s="6" t="n">
        <f aca="false">$N$5</f>
        <v>1600</v>
      </c>
      <c r="G102" s="6" t="n">
        <f aca="false">D102+E102+F102</f>
        <v>41740</v>
      </c>
      <c r="H102" s="6" t="n">
        <f aca="false">MIN(D102*$N$6,$N$7)</f>
        <v>1800</v>
      </c>
      <c r="I102" s="6" t="n">
        <f aca="false">$N$8</f>
        <v>200</v>
      </c>
      <c r="J102" s="6" t="n">
        <f aca="false">H102+I102</f>
        <v>2000</v>
      </c>
      <c r="K102" s="6" t="n">
        <f aca="false">G102-J102</f>
        <v>39740</v>
      </c>
    </row>
    <row r="103" customFormat="false" ht="15" hidden="false" customHeight="false" outlineLevel="0" collapsed="false">
      <c r="A103" s="4" t="str">
        <f aca="false">'Employee Master'!A103</f>
        <v>EMP1098</v>
      </c>
      <c r="B103" s="4" t="str">
        <f aca="false">CONCATENATE('Employee Master'!B103," ",'Employee Master'!C103)</f>
        <v>John Brown</v>
      </c>
      <c r="C103" s="4" t="str">
        <f aca="false">'Employee Master'!D103</f>
        <v>Operations</v>
      </c>
      <c r="D103" s="6" t="n">
        <f aca="false">'Employee Master'!L103</f>
        <v>53670</v>
      </c>
      <c r="E103" s="6" t="n">
        <f aca="false">'Employee Master'!M103</f>
        <v>21470</v>
      </c>
      <c r="F103" s="6" t="n">
        <f aca="false">$N$5</f>
        <v>1600</v>
      </c>
      <c r="G103" s="6" t="n">
        <f aca="false">D103+E103+F103</f>
        <v>76740</v>
      </c>
      <c r="H103" s="6" t="n">
        <f aca="false">MIN(D103*$N$6,$N$7)</f>
        <v>1800</v>
      </c>
      <c r="I103" s="6" t="n">
        <f aca="false">$N$8</f>
        <v>200</v>
      </c>
      <c r="J103" s="6" t="n">
        <f aca="false">H103+I103</f>
        <v>2000</v>
      </c>
      <c r="K103" s="6" t="n">
        <f aca="false">G103-J103</f>
        <v>74740</v>
      </c>
    </row>
    <row r="104" customFormat="false" ht="15" hidden="false" customHeight="false" outlineLevel="0" collapsed="false">
      <c r="A104" s="4" t="str">
        <f aca="false">'Employee Master'!A104</f>
        <v>EMP1099</v>
      </c>
      <c r="B104" s="4" t="str">
        <f aca="false">CONCATENATE('Employee Master'!B104," ",'Employee Master'!C104)</f>
        <v>Sai Smith</v>
      </c>
      <c r="C104" s="4" t="str">
        <f aca="false">'Employee Master'!D104</f>
        <v>Marketing</v>
      </c>
      <c r="D104" s="6" t="n">
        <f aca="false">'Employee Master'!L104</f>
        <v>15000</v>
      </c>
      <c r="E104" s="6" t="n">
        <f aca="false">'Employee Master'!M104</f>
        <v>6000</v>
      </c>
      <c r="F104" s="6" t="n">
        <f aca="false">$N$5</f>
        <v>1600</v>
      </c>
      <c r="G104" s="6" t="n">
        <f aca="false">D104+E104+F104</f>
        <v>22600</v>
      </c>
      <c r="H104" s="6" t="n">
        <f aca="false">MIN(D104*$N$6,$N$7)</f>
        <v>1800</v>
      </c>
      <c r="I104" s="6" t="n">
        <f aca="false">$N$8</f>
        <v>200</v>
      </c>
      <c r="J104" s="6" t="n">
        <f aca="false">H104+I104</f>
        <v>2000</v>
      </c>
      <c r="K104" s="6" t="n">
        <f aca="false">G104-J104</f>
        <v>20600</v>
      </c>
    </row>
    <row r="105" customFormat="false" ht="15" hidden="false" customHeight="false" outlineLevel="0" collapsed="false">
      <c r="A105" s="4" t="str">
        <f aca="false">'Employee Master'!A105</f>
        <v>EMP1100</v>
      </c>
      <c r="B105" s="4" t="str">
        <f aca="false">CONCATENATE('Employee Master'!B105," ",'Employee Master'!C105)</f>
        <v>Hiro Roy</v>
      </c>
      <c r="C105" s="4" t="str">
        <f aca="false">'Employee Master'!D105</f>
        <v>Finance</v>
      </c>
      <c r="D105" s="6" t="n">
        <f aca="false">'Employee Master'!L105</f>
        <v>57330</v>
      </c>
      <c r="E105" s="6" t="n">
        <f aca="false">'Employee Master'!M105</f>
        <v>22930</v>
      </c>
      <c r="F105" s="6" t="n">
        <f aca="false">$N$5</f>
        <v>1600</v>
      </c>
      <c r="G105" s="6" t="n">
        <f aca="false">D105+E105+F105</f>
        <v>81860</v>
      </c>
      <c r="H105" s="6" t="n">
        <f aca="false">MIN(D105*$N$6,$N$7)</f>
        <v>1800</v>
      </c>
      <c r="I105" s="6" t="n">
        <f aca="false">$N$8</f>
        <v>200</v>
      </c>
      <c r="J105" s="6" t="n">
        <f aca="false">H105+I105</f>
        <v>2000</v>
      </c>
      <c r="K105" s="6" t="n">
        <f aca="false">G105-J105</f>
        <v>79860</v>
      </c>
    </row>
    <row r="106" customFormat="false" ht="15" hidden="false" customHeight="false" outlineLevel="0" collapsed="false">
      <c r="A106" s="4" t="str">
        <f aca="false">'Employee Master'!A106</f>
        <v>EMP1101</v>
      </c>
      <c r="B106" s="4" t="str">
        <f aca="false">CONCATENATE('Employee Master'!B106," ",'Employee Master'!C106)</f>
        <v>Wei Jones</v>
      </c>
      <c r="C106" s="4" t="str">
        <f aca="false">'Employee Master'!D106</f>
        <v>Engineering</v>
      </c>
      <c r="D106" s="6" t="n">
        <f aca="false">'Employee Master'!L106</f>
        <v>56330</v>
      </c>
      <c r="E106" s="6" t="n">
        <f aca="false">'Employee Master'!M106</f>
        <v>22530</v>
      </c>
      <c r="F106" s="6" t="n">
        <f aca="false">$N$5</f>
        <v>1600</v>
      </c>
      <c r="G106" s="6" t="n">
        <f aca="false">D106+E106+F106</f>
        <v>80460</v>
      </c>
      <c r="H106" s="6" t="n">
        <f aca="false">MIN(D106*$N$6,$N$7)</f>
        <v>1800</v>
      </c>
      <c r="I106" s="6" t="n">
        <f aca="false">$N$8</f>
        <v>200</v>
      </c>
      <c r="J106" s="6" t="n">
        <f aca="false">H106+I106</f>
        <v>2000</v>
      </c>
      <c r="K106" s="6" t="n">
        <f aca="false">G106-J106</f>
        <v>78460</v>
      </c>
    </row>
    <row r="107" customFormat="false" ht="15" hidden="false" customHeight="false" outlineLevel="0" collapsed="false">
      <c r="A107" s="4" t="str">
        <f aca="false">'Employee Master'!A107</f>
        <v>EMP1102</v>
      </c>
      <c r="B107" s="4" t="str">
        <f aca="false">CONCATENATE('Employee Master'!B107," ",'Employee Master'!C107)</f>
        <v>Krishna Sharma</v>
      </c>
      <c r="C107" s="4" t="str">
        <f aca="false">'Employee Master'!D107</f>
        <v>Operations</v>
      </c>
      <c r="D107" s="6" t="n">
        <f aca="false">'Employee Master'!L107</f>
        <v>49670</v>
      </c>
      <c r="E107" s="6" t="n">
        <f aca="false">'Employee Master'!M107</f>
        <v>19870</v>
      </c>
      <c r="F107" s="6" t="n">
        <f aca="false">$N$5</f>
        <v>1600</v>
      </c>
      <c r="G107" s="6" t="n">
        <f aca="false">D107+E107+F107</f>
        <v>71140</v>
      </c>
      <c r="H107" s="6" t="n">
        <f aca="false">MIN(D107*$N$6,$N$7)</f>
        <v>1800</v>
      </c>
      <c r="I107" s="6" t="n">
        <f aca="false">$N$8</f>
        <v>200</v>
      </c>
      <c r="J107" s="6" t="n">
        <f aca="false">H107+I107</f>
        <v>2000</v>
      </c>
      <c r="K107" s="6" t="n">
        <f aca="false">G107-J107</f>
        <v>69140</v>
      </c>
    </row>
    <row r="108" customFormat="false" ht="15" hidden="false" customHeight="false" outlineLevel="0" collapsed="false">
      <c r="A108" s="4" t="str">
        <f aca="false">'Employee Master'!A108</f>
        <v>EMP1103</v>
      </c>
      <c r="B108" s="4" t="str">
        <f aca="false">CONCATENATE('Employee Master'!B108," ",'Employee Master'!C108)</f>
        <v>Sai Mehta</v>
      </c>
      <c r="C108" s="4" t="str">
        <f aca="false">'Employee Master'!D108</f>
        <v>Engineering</v>
      </c>
      <c r="D108" s="6" t="n">
        <f aca="false">'Employee Master'!L108</f>
        <v>38000</v>
      </c>
      <c r="E108" s="6" t="n">
        <f aca="false">'Employee Master'!M108</f>
        <v>15200</v>
      </c>
      <c r="F108" s="6" t="n">
        <f aca="false">$N$5</f>
        <v>1600</v>
      </c>
      <c r="G108" s="6" t="n">
        <f aca="false">D108+E108+F108</f>
        <v>54800</v>
      </c>
      <c r="H108" s="6" t="n">
        <f aca="false">MIN(D108*$N$6,$N$7)</f>
        <v>1800</v>
      </c>
      <c r="I108" s="6" t="n">
        <f aca="false">$N$8</f>
        <v>200</v>
      </c>
      <c r="J108" s="6" t="n">
        <f aca="false">H108+I108</f>
        <v>2000</v>
      </c>
      <c r="K108" s="6" t="n">
        <f aca="false">G108-J108</f>
        <v>52800</v>
      </c>
    </row>
    <row r="109" customFormat="false" ht="15" hidden="false" customHeight="false" outlineLevel="0" collapsed="false">
      <c r="A109" s="4" t="str">
        <f aca="false">'Employee Master'!A109</f>
        <v>EMP1104</v>
      </c>
      <c r="B109" s="4" t="str">
        <f aca="false">CONCATENATE('Employee Master'!B109," ",'Employee Master'!C109)</f>
        <v>Matthew Das</v>
      </c>
      <c r="C109" s="4" t="str">
        <f aca="false">'Employee Master'!D109</f>
        <v>HR</v>
      </c>
      <c r="D109" s="6" t="n">
        <f aca="false">'Employee Master'!L109</f>
        <v>31000</v>
      </c>
      <c r="E109" s="6" t="n">
        <f aca="false">'Employee Master'!M109</f>
        <v>12400</v>
      </c>
      <c r="F109" s="6" t="n">
        <f aca="false">$N$5</f>
        <v>1600</v>
      </c>
      <c r="G109" s="6" t="n">
        <f aca="false">D109+E109+F109</f>
        <v>45000</v>
      </c>
      <c r="H109" s="6" t="n">
        <f aca="false">MIN(D109*$N$6,$N$7)</f>
        <v>1800</v>
      </c>
      <c r="I109" s="6" t="n">
        <f aca="false">$N$8</f>
        <v>200</v>
      </c>
      <c r="J109" s="6" t="n">
        <f aca="false">H109+I109</f>
        <v>2000</v>
      </c>
      <c r="K109" s="6" t="n">
        <f aca="false">G109-J109</f>
        <v>43000</v>
      </c>
    </row>
    <row r="110" customFormat="false" ht="15" hidden="false" customHeight="false" outlineLevel="0" collapsed="false">
      <c r="A110" s="4" t="str">
        <f aca="false">'Employee Master'!A110</f>
        <v>EMP1105</v>
      </c>
      <c r="B110" s="4" t="str">
        <f aca="false">CONCATENATE('Employee Master'!B110," ",'Employee Master'!C110)</f>
        <v>Evelyn Davis</v>
      </c>
      <c r="C110" s="4" t="str">
        <f aca="false">'Employee Master'!D110</f>
        <v>Operations</v>
      </c>
      <c r="D110" s="6" t="n">
        <f aca="false">'Employee Master'!L110</f>
        <v>58000</v>
      </c>
      <c r="E110" s="6" t="n">
        <f aca="false">'Employee Master'!M110</f>
        <v>23200</v>
      </c>
      <c r="F110" s="6" t="n">
        <f aca="false">$N$5</f>
        <v>1600</v>
      </c>
      <c r="G110" s="6" t="n">
        <f aca="false">D110+E110+F110</f>
        <v>82800</v>
      </c>
      <c r="H110" s="6" t="n">
        <f aca="false">MIN(D110*$N$6,$N$7)</f>
        <v>1800</v>
      </c>
      <c r="I110" s="6" t="n">
        <f aca="false">$N$8</f>
        <v>200</v>
      </c>
      <c r="J110" s="6" t="n">
        <f aca="false">H110+I110</f>
        <v>2000</v>
      </c>
      <c r="K110" s="6" t="n">
        <f aca="false">G110-J110</f>
        <v>80800</v>
      </c>
    </row>
    <row r="111" customFormat="false" ht="15" hidden="false" customHeight="false" outlineLevel="0" collapsed="false">
      <c r="A111" s="4" t="str">
        <f aca="false">'Employee Master'!A111</f>
        <v>EMP1106</v>
      </c>
      <c r="B111" s="4" t="str">
        <f aca="false">CONCATENATE('Employee Master'!B111," ",'Employee Master'!C111)</f>
        <v>Navya Das</v>
      </c>
      <c r="C111" s="4" t="str">
        <f aca="false">'Employee Master'!D111</f>
        <v>Engineering</v>
      </c>
      <c r="D111" s="6" t="n">
        <f aca="false">'Employee Master'!L111</f>
        <v>56000</v>
      </c>
      <c r="E111" s="6" t="n">
        <f aca="false">'Employee Master'!M111</f>
        <v>22400</v>
      </c>
      <c r="F111" s="6" t="n">
        <f aca="false">$N$5</f>
        <v>1600</v>
      </c>
      <c r="G111" s="6" t="n">
        <f aca="false">D111+E111+F111</f>
        <v>80000</v>
      </c>
      <c r="H111" s="6" t="n">
        <f aca="false">MIN(D111*$N$6,$N$7)</f>
        <v>1800</v>
      </c>
      <c r="I111" s="6" t="n">
        <f aca="false">$N$8</f>
        <v>200</v>
      </c>
      <c r="J111" s="6" t="n">
        <f aca="false">H111+I111</f>
        <v>2000</v>
      </c>
      <c r="K111" s="6" t="n">
        <f aca="false">G111-J111</f>
        <v>78000</v>
      </c>
    </row>
    <row r="112" customFormat="false" ht="15" hidden="false" customHeight="false" outlineLevel="0" collapsed="false">
      <c r="A112" s="4" t="str">
        <f aca="false">'Employee Master'!A112</f>
        <v>EMP1107</v>
      </c>
      <c r="B112" s="4" t="str">
        <f aca="false">CONCATENATE('Employee Master'!B112," ",'Employee Master'!C112)</f>
        <v>Robert Smith</v>
      </c>
      <c r="C112" s="4" t="str">
        <f aca="false">'Employee Master'!D112</f>
        <v>Finance</v>
      </c>
      <c r="D112" s="6" t="n">
        <f aca="false">'Employee Master'!L112</f>
        <v>35330</v>
      </c>
      <c r="E112" s="6" t="n">
        <f aca="false">'Employee Master'!M112</f>
        <v>14130</v>
      </c>
      <c r="F112" s="6" t="n">
        <f aca="false">$N$5</f>
        <v>1600</v>
      </c>
      <c r="G112" s="6" t="n">
        <f aca="false">D112+E112+F112</f>
        <v>51060</v>
      </c>
      <c r="H112" s="6" t="n">
        <f aca="false">MIN(D112*$N$6,$N$7)</f>
        <v>1800</v>
      </c>
      <c r="I112" s="6" t="n">
        <f aca="false">$N$8</f>
        <v>200</v>
      </c>
      <c r="J112" s="6" t="n">
        <f aca="false">H112+I112</f>
        <v>2000</v>
      </c>
      <c r="K112" s="6" t="n">
        <f aca="false">G112-J112</f>
        <v>49060</v>
      </c>
    </row>
    <row r="113" customFormat="false" ht="15" hidden="false" customHeight="false" outlineLevel="0" collapsed="false">
      <c r="A113" s="4" t="str">
        <f aca="false">'Employee Master'!A113</f>
        <v>EMP1108</v>
      </c>
      <c r="B113" s="4" t="str">
        <f aca="false">CONCATENATE('Employee Master'!B113," ",'Employee Master'!C113)</f>
        <v>Amelia Williams</v>
      </c>
      <c r="C113" s="4" t="str">
        <f aca="false">'Employee Master'!D113</f>
        <v>Sales</v>
      </c>
      <c r="D113" s="6" t="n">
        <f aca="false">'Employee Master'!L113</f>
        <v>47330</v>
      </c>
      <c r="E113" s="6" t="n">
        <f aca="false">'Employee Master'!M113</f>
        <v>18930</v>
      </c>
      <c r="F113" s="6" t="n">
        <f aca="false">$N$5</f>
        <v>1600</v>
      </c>
      <c r="G113" s="6" t="n">
        <f aca="false">D113+E113+F113</f>
        <v>67860</v>
      </c>
      <c r="H113" s="6" t="n">
        <f aca="false">MIN(D113*$N$6,$N$7)</f>
        <v>1800</v>
      </c>
      <c r="I113" s="6" t="n">
        <f aca="false">$N$8</f>
        <v>200</v>
      </c>
      <c r="J113" s="6" t="n">
        <f aca="false">H113+I113</f>
        <v>2000</v>
      </c>
      <c r="K113" s="6" t="n">
        <f aca="false">G113-J113</f>
        <v>65860</v>
      </c>
    </row>
    <row r="114" customFormat="false" ht="15" hidden="false" customHeight="false" outlineLevel="0" collapsed="false">
      <c r="A114" s="4" t="str">
        <f aca="false">'Employee Master'!A114</f>
        <v>EMP1109</v>
      </c>
      <c r="B114" s="4" t="str">
        <f aca="false">CONCATENATE('Employee Master'!B114," ",'Employee Master'!C114)</f>
        <v>David Shah</v>
      </c>
      <c r="C114" s="4" t="str">
        <f aca="false">'Employee Master'!D114</f>
        <v>Operations</v>
      </c>
      <c r="D114" s="6" t="n">
        <f aca="false">'Employee Master'!L114</f>
        <v>43000</v>
      </c>
      <c r="E114" s="6" t="n">
        <f aca="false">'Employee Master'!M114</f>
        <v>17200</v>
      </c>
      <c r="F114" s="6" t="n">
        <f aca="false">$N$5</f>
        <v>1600</v>
      </c>
      <c r="G114" s="6" t="n">
        <f aca="false">D114+E114+F114</f>
        <v>61800</v>
      </c>
      <c r="H114" s="6" t="n">
        <f aca="false">MIN(D114*$N$6,$N$7)</f>
        <v>1800</v>
      </c>
      <c r="I114" s="6" t="n">
        <f aca="false">$N$8</f>
        <v>200</v>
      </c>
      <c r="J114" s="6" t="n">
        <f aca="false">H114+I114</f>
        <v>2000</v>
      </c>
      <c r="K114" s="6" t="n">
        <f aca="false">G114-J114</f>
        <v>59800</v>
      </c>
    </row>
    <row r="115" customFormat="false" ht="15" hidden="false" customHeight="false" outlineLevel="0" collapsed="false">
      <c r="A115" s="4" t="str">
        <f aca="false">'Employee Master'!A115</f>
        <v>EMP1110</v>
      </c>
      <c r="B115" s="4" t="str">
        <f aca="false">CONCATENATE('Employee Master'!B115," ",'Employee Master'!C115)</f>
        <v>Reyansh Roy</v>
      </c>
      <c r="C115" s="4" t="str">
        <f aca="false">'Employee Master'!D115</f>
        <v>HR</v>
      </c>
      <c r="D115" s="6" t="n">
        <f aca="false">'Employee Master'!L115</f>
        <v>28000</v>
      </c>
      <c r="E115" s="6" t="n">
        <f aca="false">'Employee Master'!M115</f>
        <v>11200</v>
      </c>
      <c r="F115" s="6" t="n">
        <f aca="false">$N$5</f>
        <v>1600</v>
      </c>
      <c r="G115" s="6" t="n">
        <f aca="false">D115+E115+F115</f>
        <v>40800</v>
      </c>
      <c r="H115" s="6" t="n">
        <f aca="false">MIN(D115*$N$6,$N$7)</f>
        <v>1800</v>
      </c>
      <c r="I115" s="6" t="n">
        <f aca="false">$N$8</f>
        <v>200</v>
      </c>
      <c r="J115" s="6" t="n">
        <f aca="false">H115+I115</f>
        <v>2000</v>
      </c>
      <c r="K115" s="6" t="n">
        <f aca="false">G115-J115</f>
        <v>38800</v>
      </c>
    </row>
    <row r="116" customFormat="false" ht="15" hidden="false" customHeight="false" outlineLevel="0" collapsed="false">
      <c r="A116" s="4" t="str">
        <f aca="false">'Employee Master'!A116</f>
        <v>EMP1111</v>
      </c>
      <c r="B116" s="4" t="str">
        <f aca="false">CONCATENATE('Employee Master'!B116," ",'Employee Master'!C116)</f>
        <v>Arjun Miller</v>
      </c>
      <c r="C116" s="4" t="str">
        <f aca="false">'Employee Master'!D116</f>
        <v>Marketing</v>
      </c>
      <c r="D116" s="6" t="n">
        <f aca="false">'Employee Master'!L116</f>
        <v>47330</v>
      </c>
      <c r="E116" s="6" t="n">
        <f aca="false">'Employee Master'!M116</f>
        <v>18930</v>
      </c>
      <c r="F116" s="6" t="n">
        <f aca="false">$N$5</f>
        <v>1600</v>
      </c>
      <c r="G116" s="6" t="n">
        <f aca="false">D116+E116+F116</f>
        <v>67860</v>
      </c>
      <c r="H116" s="6" t="n">
        <f aca="false">MIN(D116*$N$6,$N$7)</f>
        <v>1800</v>
      </c>
      <c r="I116" s="6" t="n">
        <f aca="false">$N$8</f>
        <v>200</v>
      </c>
      <c r="J116" s="6" t="n">
        <f aca="false">H116+I116</f>
        <v>2000</v>
      </c>
      <c r="K116" s="6" t="n">
        <f aca="false">G116-J116</f>
        <v>65860</v>
      </c>
    </row>
    <row r="117" customFormat="false" ht="15" hidden="false" customHeight="false" outlineLevel="0" collapsed="false">
      <c r="A117" s="4" t="str">
        <f aca="false">'Employee Master'!A117</f>
        <v>EMP1112</v>
      </c>
      <c r="B117" s="4" t="str">
        <f aca="false">CONCATENATE('Employee Master'!B117," ",'Employee Master'!C117)</f>
        <v>James Patel</v>
      </c>
      <c r="C117" s="4" t="str">
        <f aca="false">'Employee Master'!D117</f>
        <v>Operations</v>
      </c>
      <c r="D117" s="6" t="n">
        <f aca="false">'Employee Master'!L117</f>
        <v>22670</v>
      </c>
      <c r="E117" s="6" t="n">
        <f aca="false">'Employee Master'!M117</f>
        <v>9070</v>
      </c>
      <c r="F117" s="6" t="n">
        <f aca="false">$N$5</f>
        <v>1600</v>
      </c>
      <c r="G117" s="6" t="n">
        <f aca="false">D117+E117+F117</f>
        <v>33340</v>
      </c>
      <c r="H117" s="6" t="n">
        <f aca="false">MIN(D117*$N$6,$N$7)</f>
        <v>1800</v>
      </c>
      <c r="I117" s="6" t="n">
        <f aca="false">$N$8</f>
        <v>200</v>
      </c>
      <c r="J117" s="6" t="n">
        <f aca="false">H117+I117</f>
        <v>2000</v>
      </c>
      <c r="K117" s="6" t="n">
        <f aca="false">G117-J117</f>
        <v>31340</v>
      </c>
    </row>
    <row r="118" customFormat="false" ht="15" hidden="false" customHeight="false" outlineLevel="0" collapsed="false">
      <c r="A118" s="4" t="str">
        <f aca="false">'Employee Master'!A118</f>
        <v>EMP1113</v>
      </c>
      <c r="B118" s="4" t="str">
        <f aca="false">CONCATENATE('Employee Master'!B118," ",'Employee Master'!C118)</f>
        <v>Andrew Reddy</v>
      </c>
      <c r="C118" s="4" t="str">
        <f aca="false">'Employee Master'!D118</f>
        <v>Operations</v>
      </c>
      <c r="D118" s="6" t="n">
        <f aca="false">'Employee Master'!L118</f>
        <v>18670</v>
      </c>
      <c r="E118" s="6" t="n">
        <f aca="false">'Employee Master'!M118</f>
        <v>7470</v>
      </c>
      <c r="F118" s="6" t="n">
        <f aca="false">$N$5</f>
        <v>1600</v>
      </c>
      <c r="G118" s="6" t="n">
        <f aca="false">D118+E118+F118</f>
        <v>27740</v>
      </c>
      <c r="H118" s="6" t="n">
        <f aca="false">MIN(D118*$N$6,$N$7)</f>
        <v>1800</v>
      </c>
      <c r="I118" s="6" t="n">
        <f aca="false">$N$8</f>
        <v>200</v>
      </c>
      <c r="J118" s="6" t="n">
        <f aca="false">H118+I118</f>
        <v>2000</v>
      </c>
      <c r="K118" s="6" t="n">
        <f aca="false">G118-J118</f>
        <v>25740</v>
      </c>
    </row>
    <row r="119" customFormat="false" ht="15" hidden="false" customHeight="false" outlineLevel="0" collapsed="false">
      <c r="A119" s="4" t="str">
        <f aca="false">'Employee Master'!A119</f>
        <v>EMP1114</v>
      </c>
      <c r="B119" s="4" t="str">
        <f aca="false">CONCATENATE('Employee Master'!B119," ",'Employee Master'!C119)</f>
        <v>James Chatterjee</v>
      </c>
      <c r="C119" s="4" t="str">
        <f aca="false">'Employee Master'!D119</f>
        <v>Engineering</v>
      </c>
      <c r="D119" s="6" t="n">
        <f aca="false">'Employee Master'!L119</f>
        <v>60000</v>
      </c>
      <c r="E119" s="6" t="n">
        <f aca="false">'Employee Master'!M119</f>
        <v>24000</v>
      </c>
      <c r="F119" s="6" t="n">
        <f aca="false">$N$5</f>
        <v>1600</v>
      </c>
      <c r="G119" s="6" t="n">
        <f aca="false">D119+E119+F119</f>
        <v>85600</v>
      </c>
      <c r="H119" s="6" t="n">
        <f aca="false">MIN(D119*$N$6,$N$7)</f>
        <v>1800</v>
      </c>
      <c r="I119" s="6" t="n">
        <f aca="false">$N$8</f>
        <v>200</v>
      </c>
      <c r="J119" s="6" t="n">
        <f aca="false">H119+I119</f>
        <v>2000</v>
      </c>
      <c r="K119" s="6" t="n">
        <f aca="false">G119-J119</f>
        <v>83600</v>
      </c>
    </row>
    <row r="120" customFormat="false" ht="15" hidden="false" customHeight="false" outlineLevel="0" collapsed="false">
      <c r="A120" s="4" t="str">
        <f aca="false">'Employee Master'!A120</f>
        <v>EMP1115</v>
      </c>
      <c r="B120" s="4" t="str">
        <f aca="false">CONCATENATE('Employee Master'!B120," ",'Employee Master'!C120)</f>
        <v>Matthew Wilson</v>
      </c>
      <c r="C120" s="4" t="str">
        <f aca="false">'Employee Master'!D120</f>
        <v>Operations</v>
      </c>
      <c r="D120" s="6" t="n">
        <f aca="false">'Employee Master'!L120</f>
        <v>35330</v>
      </c>
      <c r="E120" s="6" t="n">
        <f aca="false">'Employee Master'!M120</f>
        <v>14130</v>
      </c>
      <c r="F120" s="6" t="n">
        <f aca="false">$N$5</f>
        <v>1600</v>
      </c>
      <c r="G120" s="6" t="n">
        <f aca="false">D120+E120+F120</f>
        <v>51060</v>
      </c>
      <c r="H120" s="6" t="n">
        <f aca="false">MIN(D120*$N$6,$N$7)</f>
        <v>1800</v>
      </c>
      <c r="I120" s="6" t="n">
        <f aca="false">$N$8</f>
        <v>200</v>
      </c>
      <c r="J120" s="6" t="n">
        <f aca="false">H120+I120</f>
        <v>2000</v>
      </c>
      <c r="K120" s="6" t="n">
        <f aca="false">G120-J120</f>
        <v>49060</v>
      </c>
    </row>
    <row r="121" customFormat="false" ht="15" hidden="false" customHeight="false" outlineLevel="0" collapsed="false">
      <c r="A121" s="4" t="str">
        <f aca="false">'Employee Master'!A121</f>
        <v>EMP1116</v>
      </c>
      <c r="B121" s="4" t="str">
        <f aca="false">CONCATENATE('Employee Master'!B121," ",'Employee Master'!C121)</f>
        <v>Olivia Mukherjee</v>
      </c>
      <c r="C121" s="4" t="str">
        <f aca="false">'Employee Master'!D121</f>
        <v>Finance</v>
      </c>
      <c r="D121" s="6" t="n">
        <f aca="false">'Employee Master'!L121</f>
        <v>36670</v>
      </c>
      <c r="E121" s="6" t="n">
        <f aca="false">'Employee Master'!M121</f>
        <v>14670</v>
      </c>
      <c r="F121" s="6" t="n">
        <f aca="false">$N$5</f>
        <v>1600</v>
      </c>
      <c r="G121" s="6" t="n">
        <f aca="false">D121+E121+F121</f>
        <v>52940</v>
      </c>
      <c r="H121" s="6" t="n">
        <f aca="false">MIN(D121*$N$6,$N$7)</f>
        <v>1800</v>
      </c>
      <c r="I121" s="6" t="n">
        <f aca="false">$N$8</f>
        <v>200</v>
      </c>
      <c r="J121" s="6" t="n">
        <f aca="false">H121+I121</f>
        <v>2000</v>
      </c>
      <c r="K121" s="6" t="n">
        <f aca="false">G121-J121</f>
        <v>50940</v>
      </c>
    </row>
    <row r="122" customFormat="false" ht="15" hidden="false" customHeight="false" outlineLevel="0" collapsed="false">
      <c r="A122" s="4" t="str">
        <f aca="false">'Employee Master'!A122</f>
        <v>EMP1117</v>
      </c>
      <c r="B122" s="4" t="str">
        <f aca="false">CONCATENATE('Employee Master'!B122," ",'Employee Master'!C122)</f>
        <v>Hiro Sharma</v>
      </c>
      <c r="C122" s="4" t="str">
        <f aca="false">'Employee Master'!D122</f>
        <v>HR</v>
      </c>
      <c r="D122" s="6" t="n">
        <f aca="false">'Employee Master'!L122</f>
        <v>40330</v>
      </c>
      <c r="E122" s="6" t="n">
        <f aca="false">'Employee Master'!M122</f>
        <v>16130</v>
      </c>
      <c r="F122" s="6" t="n">
        <f aca="false">$N$5</f>
        <v>1600</v>
      </c>
      <c r="G122" s="6" t="n">
        <f aca="false">D122+E122+F122</f>
        <v>58060</v>
      </c>
      <c r="H122" s="6" t="n">
        <f aca="false">MIN(D122*$N$6,$N$7)</f>
        <v>1800</v>
      </c>
      <c r="I122" s="6" t="n">
        <f aca="false">$N$8</f>
        <v>200</v>
      </c>
      <c r="J122" s="6" t="n">
        <f aca="false">H122+I122</f>
        <v>2000</v>
      </c>
      <c r="K122" s="6" t="n">
        <f aca="false">G122-J122</f>
        <v>56060</v>
      </c>
    </row>
    <row r="123" customFormat="false" ht="15" hidden="false" customHeight="false" outlineLevel="0" collapsed="false">
      <c r="A123" s="4" t="str">
        <f aca="false">'Employee Master'!A123</f>
        <v>EMP1118</v>
      </c>
      <c r="B123" s="4" t="str">
        <f aca="false">CONCATENATE('Employee Master'!B123," ",'Employee Master'!C123)</f>
        <v>Wei Brown</v>
      </c>
      <c r="C123" s="4" t="str">
        <f aca="false">'Employee Master'!D123</f>
        <v>Operations</v>
      </c>
      <c r="D123" s="6" t="n">
        <f aca="false">'Employee Master'!L123</f>
        <v>56000</v>
      </c>
      <c r="E123" s="6" t="n">
        <f aca="false">'Employee Master'!M123</f>
        <v>22400</v>
      </c>
      <c r="F123" s="6" t="n">
        <f aca="false">$N$5</f>
        <v>1600</v>
      </c>
      <c r="G123" s="6" t="n">
        <f aca="false">D123+E123+F123</f>
        <v>80000</v>
      </c>
      <c r="H123" s="6" t="n">
        <f aca="false">MIN(D123*$N$6,$N$7)</f>
        <v>1800</v>
      </c>
      <c r="I123" s="6" t="n">
        <f aca="false">$N$8</f>
        <v>200</v>
      </c>
      <c r="J123" s="6" t="n">
        <f aca="false">H123+I123</f>
        <v>2000</v>
      </c>
      <c r="K123" s="6" t="n">
        <f aca="false">G123-J123</f>
        <v>78000</v>
      </c>
    </row>
    <row r="124" customFormat="false" ht="15" hidden="false" customHeight="false" outlineLevel="0" collapsed="false">
      <c r="A124" s="4" t="str">
        <f aca="false">'Employee Master'!A124</f>
        <v>EMP1119</v>
      </c>
      <c r="B124" s="4" t="str">
        <f aca="false">CONCATENATE('Employee Master'!B124," ",'Employee Master'!C124)</f>
        <v>Reyansh Mehta</v>
      </c>
      <c r="C124" s="4" t="str">
        <f aca="false">'Employee Master'!D124</f>
        <v>HR</v>
      </c>
      <c r="D124" s="6" t="n">
        <f aca="false">'Employee Master'!L124</f>
        <v>15670</v>
      </c>
      <c r="E124" s="6" t="n">
        <f aca="false">'Employee Master'!M124</f>
        <v>6270</v>
      </c>
      <c r="F124" s="6" t="n">
        <f aca="false">$N$5</f>
        <v>1600</v>
      </c>
      <c r="G124" s="6" t="n">
        <f aca="false">D124+E124+F124</f>
        <v>23540</v>
      </c>
      <c r="H124" s="6" t="n">
        <f aca="false">MIN(D124*$N$6,$N$7)</f>
        <v>1800</v>
      </c>
      <c r="I124" s="6" t="n">
        <f aca="false">$N$8</f>
        <v>200</v>
      </c>
      <c r="J124" s="6" t="n">
        <f aca="false">H124+I124</f>
        <v>2000</v>
      </c>
      <c r="K124" s="6" t="n">
        <f aca="false">G124-J124</f>
        <v>21540</v>
      </c>
    </row>
    <row r="126" customFormat="false" ht="15" hidden="false" customHeight="false" outlineLevel="0" collapsed="false">
      <c r="C126" s="8" t="s">
        <v>273</v>
      </c>
      <c r="D126" s="12" t="n">
        <f aca="false">SUM(D5:D124)</f>
        <v>4559340</v>
      </c>
      <c r="E126" s="12" t="n">
        <f aca="false">SUM(E5:E124)</f>
        <v>1823740</v>
      </c>
      <c r="F126" s="12" t="n">
        <f aca="false">SUM(F5:F124)</f>
        <v>192000</v>
      </c>
      <c r="G126" s="12" t="n">
        <f aca="false">SUM(G5:G124)</f>
        <v>6575080</v>
      </c>
      <c r="H126" s="12" t="n">
        <f aca="false">SUM(H5:H124)</f>
        <v>216000</v>
      </c>
      <c r="I126" s="12" t="n">
        <f aca="false">SUM(I5:I124)</f>
        <v>24000</v>
      </c>
      <c r="J126" s="12" t="n">
        <f aca="false">SUM(J5:J124)</f>
        <v>240000</v>
      </c>
      <c r="K126" s="12" t="n">
        <f aca="false">SUM(K5:K124)</f>
        <v>6335080</v>
      </c>
    </row>
  </sheetData>
  <autoFilter ref="A4:K1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6"/>
  </cols>
  <sheetData>
    <row r="1" customFormat="false" ht="19.7" hidden="false" customHeight="false" outlineLevel="0" collapsed="false">
      <c r="A1" s="1" t="s">
        <v>274</v>
      </c>
    </row>
    <row r="2" customFormat="false" ht="15" hidden="false" customHeight="false" outlineLevel="0" collapsed="false">
      <c r="A2" s="2" t="s">
        <v>275</v>
      </c>
    </row>
    <row r="4" customFormat="false" ht="15" hidden="false" customHeight="false" outlineLevel="0" collapsed="false">
      <c r="A4" s="13" t="s">
        <v>276</v>
      </c>
    </row>
    <row r="5" customFormat="false" ht="26.85" hidden="false" customHeight="false" outlineLevel="0" collapsed="false">
      <c r="A5" s="3" t="s">
        <v>5</v>
      </c>
      <c r="B5" s="3" t="s">
        <v>277</v>
      </c>
      <c r="C5" s="3" t="s">
        <v>278</v>
      </c>
      <c r="D5" s="3" t="s">
        <v>279</v>
      </c>
    </row>
    <row r="6" customFormat="false" ht="15" hidden="false" customHeight="false" outlineLevel="0" collapsed="false">
      <c r="A6" s="4" t="s">
        <v>18</v>
      </c>
      <c r="B6" s="4" t="n">
        <f aca="false">COUNTIF('Employee Master'!$D$5:$D$124,A6)</f>
        <v>24</v>
      </c>
      <c r="C6" s="6" t="n">
        <f aca="false">AVERAGEIF('Employee Master'!$D$5:$D$124,A6,'Employee Master'!$K$5:$K$124)</f>
        <v>1116250</v>
      </c>
      <c r="D6" s="7" t="n">
        <f aca="false">AVERAGEIF('Attendance - June 2026'!$C$5:$C$124,A6,'Attendance - June 2026'!$H$5:$H$124)</f>
        <v>0.78219696969697</v>
      </c>
    </row>
    <row r="7" customFormat="false" ht="15" hidden="false" customHeight="false" outlineLevel="0" collapsed="false">
      <c r="A7" s="4" t="s">
        <v>37</v>
      </c>
      <c r="B7" s="4" t="n">
        <f aca="false">COUNTIF('Employee Master'!$D$5:$D$124,A7)</f>
        <v>15</v>
      </c>
      <c r="C7" s="6" t="n">
        <f aca="false">AVERAGEIF('Employee Master'!$D$5:$D$124,A7,'Employee Master'!$K$5:$K$124)</f>
        <v>1155333.33333333</v>
      </c>
      <c r="D7" s="7" t="n">
        <f aca="false">AVERAGEIF('Attendance - June 2026'!$C$5:$C$124,A7,'Attendance - June 2026'!$H$5:$H$124)</f>
        <v>0.83030303030303</v>
      </c>
    </row>
    <row r="8" customFormat="false" ht="15" hidden="false" customHeight="false" outlineLevel="0" collapsed="false">
      <c r="A8" s="4" t="s">
        <v>58</v>
      </c>
      <c r="B8" s="4" t="n">
        <f aca="false">COUNTIF('Employee Master'!$D$5:$D$124,A8)</f>
        <v>15</v>
      </c>
      <c r="C8" s="6" t="n">
        <f aca="false">AVERAGEIF('Employee Master'!$D$5:$D$124,A8,'Employee Master'!$K$5:$K$124)</f>
        <v>1097333.33333333</v>
      </c>
      <c r="D8" s="7" t="n">
        <f aca="false">AVERAGEIF('Attendance - June 2026'!$C$5:$C$124,A8,'Attendance - June 2026'!$H$5:$H$124)</f>
        <v>0.784848484848485</v>
      </c>
    </row>
    <row r="9" customFormat="false" ht="15" hidden="false" customHeight="false" outlineLevel="0" collapsed="false">
      <c r="A9" s="4" t="s">
        <v>44</v>
      </c>
      <c r="B9" s="4" t="n">
        <f aca="false">COUNTIF('Employee Master'!$D$5:$D$124,A9)</f>
        <v>16</v>
      </c>
      <c r="C9" s="6" t="n">
        <f aca="false">AVERAGEIF('Employee Master'!$D$5:$D$124,A9,'Employee Master'!$K$5:$K$124)</f>
        <v>1018125</v>
      </c>
      <c r="D9" s="7" t="n">
        <f aca="false">AVERAGEIF('Attendance - June 2026'!$C$5:$C$124,A9,'Attendance - June 2026'!$H$5:$H$124)</f>
        <v>0.809659090909091</v>
      </c>
    </row>
    <row r="10" customFormat="false" ht="15" hidden="false" customHeight="false" outlineLevel="0" collapsed="false">
      <c r="A10" s="4" t="s">
        <v>50</v>
      </c>
      <c r="B10" s="4" t="n">
        <f aca="false">COUNTIF('Employee Master'!$D$5:$D$124,A10)</f>
        <v>23</v>
      </c>
      <c r="C10" s="6" t="n">
        <f aca="false">AVERAGEIF('Employee Master'!$D$5:$D$124,A10,'Employee Master'!$K$5:$K$124)</f>
        <v>1206956.52173913</v>
      </c>
      <c r="D10" s="7" t="n">
        <f aca="false">AVERAGEIF('Attendance - June 2026'!$C$5:$C$124,A10,'Attendance - June 2026'!$H$5:$H$124)</f>
        <v>0.800395256916996</v>
      </c>
    </row>
    <row r="11" customFormat="false" ht="15" hidden="false" customHeight="false" outlineLevel="0" collapsed="false">
      <c r="A11" s="4" t="s">
        <v>31</v>
      </c>
      <c r="B11" s="4" t="n">
        <f aca="false">COUNTIF('Employee Master'!$D$5:$D$124,A11)</f>
        <v>27</v>
      </c>
      <c r="C11" s="6" t="n">
        <f aca="false">AVERAGEIF('Employee Master'!$D$5:$D$124,A11,'Employee Master'!$K$5:$K$124)</f>
        <v>1190740.74074074</v>
      </c>
      <c r="D11" s="7" t="n">
        <f aca="false">AVERAGEIF('Attendance - June 2026'!$C$5:$C$124,A11,'Attendance - June 2026'!$H$5:$H$124)</f>
        <v>0.836700336700337</v>
      </c>
    </row>
    <row r="14" customFormat="false" ht="15" hidden="false" customHeight="false" outlineLevel="0" collapsed="false">
      <c r="A14" s="13" t="s">
        <v>280</v>
      </c>
    </row>
    <row r="15" customFormat="false" ht="15" hidden="false" customHeight="false" outlineLevel="0" collapsed="false">
      <c r="A15" s="4" t="s">
        <v>281</v>
      </c>
      <c r="B15" s="14" t="n">
        <f aca="false">COUNTA('Employee Master'!$A$5:$A$124)</f>
        <v>120</v>
      </c>
    </row>
    <row r="16" customFormat="false" ht="15" hidden="false" customHeight="false" outlineLevel="0" collapsed="false">
      <c r="A16" s="4" t="s">
        <v>282</v>
      </c>
      <c r="B16" s="14" t="n">
        <f aca="false">COUNTIF('Employee Master'!$J$5:$J$124,"Active")</f>
        <v>87</v>
      </c>
    </row>
    <row r="17" customFormat="false" ht="15" hidden="false" customHeight="false" outlineLevel="0" collapsed="false">
      <c r="A17" s="4" t="s">
        <v>283</v>
      </c>
      <c r="B17" s="14" t="n">
        <f aca="false">COUNTIF('Employee Master'!$J$5:$J$124,"On Leave")</f>
        <v>19</v>
      </c>
    </row>
    <row r="18" customFormat="false" ht="15" hidden="false" customHeight="false" outlineLevel="0" collapsed="false">
      <c r="A18" s="4" t="s">
        <v>284</v>
      </c>
      <c r="B18" s="14" t="n">
        <f aca="false">COUNTIF('Employee Master'!$J$5:$J$124,"Terminated")</f>
        <v>14</v>
      </c>
    </row>
    <row r="19" customFormat="false" ht="15" hidden="false" customHeight="false" outlineLevel="0" collapsed="false">
      <c r="A19" s="4" t="s">
        <v>285</v>
      </c>
      <c r="B19" s="14" t="n">
        <f aca="false">COUNTIF('Employee Master'!$F$5:$F$124,"Female")</f>
        <v>56</v>
      </c>
    </row>
    <row r="20" customFormat="false" ht="15" hidden="false" customHeight="false" outlineLevel="0" collapsed="false">
      <c r="A20" s="4" t="s">
        <v>286</v>
      </c>
      <c r="B20" s="14" t="n">
        <f aca="false">COUNTIF('Employee Master'!$F$5:$F$124,"Male")</f>
        <v>64</v>
      </c>
    </row>
    <row r="21" customFormat="false" ht="15" hidden="false" customHeight="false" outlineLevel="0" collapsed="false">
      <c r="A21" s="4" t="s">
        <v>287</v>
      </c>
      <c r="B21" s="15" t="n">
        <f aca="false">AVERAGE('Employee Master'!$K$5:$K$124)</f>
        <v>1139833.33333333</v>
      </c>
    </row>
    <row r="22" customFormat="false" ht="15" hidden="false" customHeight="false" outlineLevel="0" collapsed="false">
      <c r="A22" s="4" t="s">
        <v>288</v>
      </c>
      <c r="B22" s="15" t="n">
        <f aca="false">MAX('Employee Master'!$K$5:$K$124)</f>
        <v>1800000</v>
      </c>
    </row>
    <row r="23" customFormat="false" ht="15" hidden="false" customHeight="false" outlineLevel="0" collapsed="false">
      <c r="A23" s="4" t="s">
        <v>289</v>
      </c>
      <c r="B23" s="15" t="n">
        <f aca="false">SUM('Payroll Calculation'!$K$5:$K$124)</f>
        <v>6335080</v>
      </c>
    </row>
    <row r="24" customFormat="false" ht="15" hidden="false" customHeight="false" outlineLevel="0" collapsed="false">
      <c r="A24" s="4" t="s">
        <v>290</v>
      </c>
      <c r="B24" s="14" t="n">
        <f aca="false">COUNTIF('Attendance - June 2026'!$H$5:$H$124,"&lt;0.8")</f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19.7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3" t="s">
        <v>293</v>
      </c>
      <c r="B4" s="3" t="s">
        <v>294</v>
      </c>
      <c r="C4" s="3" t="s">
        <v>295</v>
      </c>
    </row>
    <row r="5" customFormat="false" ht="30" hidden="false" customHeight="true" outlineLevel="0" collapsed="false">
      <c r="A5" s="4" t="n">
        <v>1</v>
      </c>
      <c r="B5" s="16" t="s">
        <v>296</v>
      </c>
      <c r="C5" s="17"/>
    </row>
    <row r="6" customFormat="false" ht="30" hidden="false" customHeight="true" outlineLevel="0" collapsed="false">
      <c r="A6" s="4" t="n">
        <v>2</v>
      </c>
      <c r="B6" s="16" t="s">
        <v>297</v>
      </c>
      <c r="C6" s="17"/>
    </row>
    <row r="7" customFormat="false" ht="30" hidden="false" customHeight="true" outlineLevel="0" collapsed="false">
      <c r="A7" s="4" t="n">
        <v>3</v>
      </c>
      <c r="B7" s="16" t="s">
        <v>298</v>
      </c>
      <c r="C7" s="17"/>
    </row>
    <row r="8" customFormat="false" ht="30" hidden="false" customHeight="true" outlineLevel="0" collapsed="false">
      <c r="A8" s="4" t="n">
        <v>4</v>
      </c>
      <c r="B8" s="16" t="s">
        <v>299</v>
      </c>
      <c r="C8" s="17"/>
    </row>
    <row r="9" customFormat="false" ht="30" hidden="false" customHeight="true" outlineLevel="0" collapsed="false">
      <c r="A9" s="4" t="n">
        <v>5</v>
      </c>
      <c r="B9" s="16" t="s">
        <v>300</v>
      </c>
      <c r="C9" s="17"/>
    </row>
    <row r="10" customFormat="false" ht="30" hidden="false" customHeight="true" outlineLevel="0" collapsed="false">
      <c r="A10" s="4" t="n">
        <v>6</v>
      </c>
      <c r="B10" s="16" t="s">
        <v>301</v>
      </c>
      <c r="C10" s="17"/>
    </row>
    <row r="11" customFormat="false" ht="30" hidden="false" customHeight="true" outlineLevel="0" collapsed="false">
      <c r="A11" s="4" t="n">
        <v>7</v>
      </c>
      <c r="B11" s="16" t="s">
        <v>302</v>
      </c>
      <c r="C11" s="17"/>
    </row>
    <row r="12" customFormat="false" ht="30" hidden="false" customHeight="true" outlineLevel="0" collapsed="false">
      <c r="A12" s="4" t="n">
        <v>8</v>
      </c>
      <c r="B12" s="16" t="s">
        <v>303</v>
      </c>
      <c r="C12" s="17"/>
    </row>
    <row r="13" customFormat="false" ht="30" hidden="false" customHeight="true" outlineLevel="0" collapsed="false">
      <c r="A13" s="4" t="n">
        <v>9</v>
      </c>
      <c r="B13" s="16" t="s">
        <v>304</v>
      </c>
      <c r="C13" s="17"/>
    </row>
    <row r="14" customFormat="false" ht="30" hidden="false" customHeight="true" outlineLevel="0" collapsed="false">
      <c r="A14" s="4" t="n">
        <v>10</v>
      </c>
      <c r="B14" s="16" t="s">
        <v>305</v>
      </c>
      <c r="C14" s="17"/>
    </row>
    <row r="15" customFormat="false" ht="30" hidden="false" customHeight="true" outlineLevel="0" collapsed="false">
      <c r="A15" s="4" t="n">
        <v>11</v>
      </c>
      <c r="B15" s="16" t="s">
        <v>306</v>
      </c>
      <c r="C15" s="17"/>
    </row>
    <row r="16" customFormat="false" ht="30" hidden="false" customHeight="true" outlineLevel="0" collapsed="false">
      <c r="A16" s="4" t="n">
        <v>12</v>
      </c>
      <c r="B16" s="16" t="s">
        <v>307</v>
      </c>
      <c r="C16" s="17"/>
    </row>
    <row r="17" customFormat="false" ht="30" hidden="false" customHeight="true" outlineLevel="0" collapsed="false">
      <c r="A17" s="4" t="n">
        <v>13</v>
      </c>
      <c r="B17" s="16" t="s">
        <v>308</v>
      </c>
      <c r="C17" s="17"/>
    </row>
    <row r="18" customFormat="false" ht="30" hidden="false" customHeight="true" outlineLevel="0" collapsed="false">
      <c r="A18" s="4" t="n">
        <v>14</v>
      </c>
      <c r="B18" s="16" t="s">
        <v>309</v>
      </c>
      <c r="C18" s="17"/>
    </row>
    <row r="19" customFormat="false" ht="30" hidden="false" customHeight="true" outlineLevel="0" collapsed="false">
      <c r="A19" s="4" t="n">
        <v>15</v>
      </c>
      <c r="B19" s="16" t="s">
        <v>310</v>
      </c>
      <c r="C19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2026-07-03T16:26:37Z</dcterms:created>
  <dc:creator>openpyxl</dc:creator>
  <dc:description/>
  <dc:language>en-US</dc:language>
  <cp:lastModifiedBy/>
  <dcterms:modified xsi:type="dcterms:W3CDTF">2026-07-03T16:26:37Z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